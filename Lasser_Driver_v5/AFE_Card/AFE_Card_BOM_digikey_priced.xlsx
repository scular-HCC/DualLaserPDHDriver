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46" customWidth="1" min="4" max="4"/>
    <col width="14" customWidth="1" min="5" max="5"/>
    <col width="40" customWidth="1" min="6" max="6"/>
    <col width="78" customWidth="1" min="7" max="7"/>
    <col width="18" customWidth="1" min="8" max="8"/>
    <col width="22" customWidth="1" min="9" max="9"/>
    <col width="12" customWidth="1" min="10" max="10"/>
    <col width="12" customWidth="1" min="11" max="11"/>
    <col width="10" customWidth="1" min="12" max="12"/>
    <col width="11" customWidth="1" min="13" max="13"/>
    <col width="12" customWidth="1" min="14" max="14"/>
    <col width="14" customWidth="1" min="15" max="15"/>
    <col width="8" customWidth="1" min="16" max="16"/>
    <col width="30" customWidth="1" min="17" max="17"/>
    <col width="26" customWidth="1" min="18" max="18"/>
  </cols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Value</t>
        </is>
      </c>
      <c r="F1" t="inlineStr">
        <is>
          <t>Footprint</t>
        </is>
      </c>
      <c r="G1" t="inlineStr">
        <is>
          <t>Description</t>
        </is>
      </c>
      <c r="H1" s="1" t="inlineStr">
        <is>
          <t>DigiKey P/N</t>
        </is>
      </c>
      <c r="I1" s="1" t="inlineStr">
        <is>
          <t>Found Mfr</t>
        </is>
      </c>
      <c r="J1" s="1" t="inlineStr">
        <is>
          <t>Stock</t>
        </is>
      </c>
      <c r="K1" s="1" t="inlineStr">
        <is>
          <t>Status</t>
        </is>
      </c>
      <c r="L1" s="1" t="inlineStr">
        <is>
          <t>Order Qty</t>
        </is>
      </c>
      <c r="M1" s="1" t="inlineStr">
        <is>
          <t>Price Break</t>
        </is>
      </c>
      <c r="N1" s="1" t="inlineStr">
        <is>
          <t>Unit Price</t>
        </is>
      </c>
      <c r="O1" s="1" t="inlineStr">
        <is>
          <t>Extended Price</t>
        </is>
      </c>
      <c r="P1" s="1" t="inlineStr">
        <is>
          <t>MOQ</t>
        </is>
      </c>
      <c r="Q1" s="1" t="inlineStr">
        <is>
          <t>Datasheet</t>
        </is>
      </c>
      <c r="R1" s="1" t="inlineStr">
        <is>
          <t>Notes</t>
        </is>
      </c>
    </row>
    <row r="2">
      <c r="A2" t="n">
        <v>2</v>
      </c>
      <c r="B2" t="inlineStr">
        <is>
          <t>132203</t>
        </is>
      </c>
      <c r="C2" t="inlineStr">
        <is>
          <t>Amphenol RF</t>
        </is>
      </c>
      <c r="D2" t="inlineStr">
        <is>
          <t>AFE_Card J204,J205</t>
        </is>
      </c>
      <c r="E2" t="inlineStr">
        <is>
          <t>SMA jack R/A</t>
        </is>
      </c>
      <c r="F2" t="inlineStr">
        <is>
          <t>SMA_Amphenol_132203-12_Horizontal</t>
        </is>
      </c>
      <c r="G2" t="inlineStr">
        <is>
          <t>SMA PCB right-angle jack 50ohm, LO1/LO2 ref input (J204/J205 - now two discrete jacks)</t>
        </is>
      </c>
      <c r="H2" t="inlineStr">
        <is>
          <t>ACX1234-ND</t>
        </is>
      </c>
      <c r="I2" t="inlineStr">
        <is>
          <t>Amphenol RF</t>
        </is>
      </c>
      <c r="J2" t="n">
        <v>4945</v>
      </c>
      <c r="K2" t="inlineStr">
        <is>
          <t>Active</t>
        </is>
      </c>
      <c r="L2" t="n">
        <v>2</v>
      </c>
      <c r="M2" t="n">
        <v>1</v>
      </c>
      <c r="N2" s="2" t="n">
        <v>14.54</v>
      </c>
      <c r="O2" s="2">
        <f>N2*L2</f>
        <v/>
      </c>
      <c r="Q2" t="inlineStr">
        <is>
          <t>https://www.amphenolrf.com/en-us/assets/file/4065789559/</t>
        </is>
      </c>
      <c r="R2" t="inlineStr"/>
    </row>
    <row r="3">
      <c r="A3" t="n">
        <v>2</v>
      </c>
      <c r="B3" t="inlineStr">
        <is>
          <t>1729131</t>
        </is>
      </c>
      <c r="C3" t="inlineStr">
        <is>
          <t>Phoenix Contact</t>
        </is>
      </c>
      <c r="D3" t="inlineStr">
        <is>
          <t>AFE_Card J202,J203</t>
        </is>
      </c>
      <c r="E3" t="inlineStr">
        <is>
          <t>MKDS 1,5/3-5,08</t>
        </is>
      </c>
      <c r="F3" t="inlineStr">
        <is>
          <t>TerminalBlock_MKDS_3_P5.08mm</t>
        </is>
      </c>
      <c r="G3" t="inlineStr">
        <is>
          <t>3-pos PCB screw terminal 5.08mm side-entry, PD pigtail (J202/203); same as AC board</t>
        </is>
      </c>
      <c r="H3" t="inlineStr">
        <is>
          <t>277-1248-ND</t>
        </is>
      </c>
      <c r="I3" t="inlineStr">
        <is>
          <t>Phoenix Contact</t>
        </is>
      </c>
      <c r="J3" t="n">
        <v>13368</v>
      </c>
      <c r="K3" t="inlineStr">
        <is>
          <t>Active</t>
        </is>
      </c>
      <c r="L3" t="n">
        <v>2</v>
      </c>
      <c r="M3" t="n">
        <v>1</v>
      </c>
      <c r="N3" s="2" t="n">
        <v>1.44</v>
      </c>
      <c r="O3" s="2">
        <f>N3*L3</f>
        <v/>
      </c>
      <c r="Q3" t="inlineStr">
        <is>
          <t>//mm.digikey.com/Volume0/opasdata/d220001/medias/docus/5784/MKDSN%201%2C5_%203-5%2C08.pdf</t>
        </is>
      </c>
      <c r="R3" t="inlineStr"/>
    </row>
    <row r="4">
      <c r="A4" t="n">
        <v>1</v>
      </c>
      <c r="B4" t="inlineStr">
        <is>
          <t>374144-E</t>
        </is>
      </c>
      <c r="C4" t="inlineStr">
        <is>
          <t>TE Connectivity</t>
        </is>
      </c>
      <c r="D4" t="inlineStr">
        <is>
          <t>AFE_Card J1</t>
        </is>
      </c>
      <c r="E4" t="inlineStr">
        <is>
          <t>DIN41612 M 3x8+8</t>
        </is>
      </c>
      <c r="F4" t="inlineStr">
        <is>
          <t>DIN41612_M_3x8+8</t>
        </is>
      </c>
      <c r="G4" t="inlineStr">
        <is>
          <t>DIN41612 Type M 24sig+8pwr R/A male backplane conn (J1)</t>
        </is>
      </c>
      <c r="H4" t="inlineStr">
        <is>
          <t>2684-374144-E-ND</t>
        </is>
      </c>
      <c r="I4" t="inlineStr">
        <is>
          <t>TE Connectivity Erni</t>
        </is>
      </c>
      <c r="J4" t="n">
        <v>0</v>
      </c>
      <c r="K4" t="inlineStr">
        <is>
          <t>Active</t>
        </is>
      </c>
      <c r="L4" t="n">
        <v>1</v>
      </c>
      <c r="M4" t="n">
        <v>1</v>
      </c>
      <c r="N4" s="2" t="n">
        <v>10.31</v>
      </c>
      <c r="O4" s="2">
        <f>N4*L4</f>
        <v/>
      </c>
      <c r="Q4" t="inlineStr">
        <is>
          <t>https://www.erni.com/fileadmin/import/products/assets/DC0006731.PDF</t>
        </is>
      </c>
      <c r="R4" t="inlineStr">
        <is>
          <t>LOW STOCK (0 &lt; 1)</t>
        </is>
      </c>
    </row>
    <row r="5">
      <c r="A5" t="n">
        <v>1</v>
      </c>
      <c r="B5" t="inlineStr">
        <is>
          <t>AD5696RARUZ</t>
        </is>
      </c>
      <c r="C5" t="inlineStr">
        <is>
          <t>Analog Devices</t>
        </is>
      </c>
      <c r="D5" t="inlineStr">
        <is>
          <t>AFE_Card U206</t>
        </is>
      </c>
      <c r="E5" t="inlineStr">
        <is>
          <t>AD5696R</t>
        </is>
      </c>
      <c r="F5" t="inlineStr">
        <is>
          <t>TSSOP-16</t>
        </is>
      </c>
      <c r="G5" t="inlineStr">
        <is>
          <t>Quad 16-bit I2C DAC at 0x0E (A1=VLOGIC,A0=GND), int 2.5V ref, GAIN=GND -&gt; 0..2.5V; automatic ERR offset null via R146/R147 (U206)</t>
        </is>
      </c>
      <c r="H5" t="inlineStr">
        <is>
          <t>505-AD5696RARUZ-ND</t>
        </is>
      </c>
      <c r="I5" t="inlineStr">
        <is>
          <t>Analog Devices Inc.</t>
        </is>
      </c>
      <c r="J5" t="n">
        <v>127</v>
      </c>
      <c r="K5" t="inlineStr">
        <is>
          <t>Active</t>
        </is>
      </c>
      <c r="L5" t="n">
        <v>1</v>
      </c>
      <c r="M5" t="n">
        <v>1</v>
      </c>
      <c r="N5" s="2" t="n">
        <v>23.52</v>
      </c>
      <c r="O5" s="2">
        <f>N5*L5</f>
        <v/>
      </c>
      <c r="Q5" t="inlineStr">
        <is>
          <t>https://www.analog.com/media/en/technical-documentation/data-sheets/AD5696R_5695R_5694R.pdf</t>
        </is>
      </c>
      <c r="R5" t="inlineStr"/>
    </row>
    <row r="6">
      <c r="A6" t="n">
        <v>2</v>
      </c>
      <c r="B6" t="inlineStr">
        <is>
          <t>AD835ARZ</t>
        </is>
      </c>
      <c r="C6" t="inlineStr">
        <is>
          <t>Analog Devices</t>
        </is>
      </c>
      <c r="D6" t="inlineStr">
        <is>
          <t>AFE_Card U45,U46</t>
        </is>
      </c>
      <c r="E6" t="inlineStr">
        <is>
          <t>AD835</t>
        </is>
      </c>
      <c r="F6" t="inlineStr">
        <is>
          <t>SOIC-8</t>
        </is>
      </c>
      <c r="G6" t="inlineStr">
        <is>
          <t>250MHz 4-quadrant multiplier, PDH demodulator (U45/46)</t>
        </is>
      </c>
      <c r="H6" t="inlineStr">
        <is>
          <t>505-AD835ARZ-ND</t>
        </is>
      </c>
      <c r="I6" t="inlineStr">
        <is>
          <t>Analog Devices Inc.</t>
        </is>
      </c>
      <c r="J6" t="n">
        <v>1228</v>
      </c>
      <c r="K6" t="inlineStr">
        <is>
          <t>Active</t>
        </is>
      </c>
      <c r="L6" t="n">
        <v>2</v>
      </c>
      <c r="M6" t="n">
        <v>1</v>
      </c>
      <c r="N6" s="2" t="n">
        <v>40.04</v>
      </c>
      <c r="O6" s="2">
        <f>N6*L6</f>
        <v/>
      </c>
      <c r="Q6" t="inlineStr">
        <is>
          <t>https://www.analog.com/media/en/technical-documentation/data-sheets/AD835.pdf</t>
        </is>
      </c>
      <c r="R6" t="inlineStr"/>
    </row>
    <row r="7">
      <c r="A7" t="n">
        <v>1</v>
      </c>
      <c r="B7" t="inlineStr">
        <is>
          <t>ADS1115IDGSR</t>
        </is>
      </c>
      <c r="C7" t="inlineStr">
        <is>
          <t>Texas Instruments</t>
        </is>
      </c>
      <c r="D7" t="inlineStr">
        <is>
          <t>AFE_Card U201</t>
        </is>
      </c>
      <c r="E7" t="inlineStr">
        <is>
          <t>ADS1115</t>
        </is>
      </c>
      <c r="F7" t="inlineStr">
        <is>
          <t>VSSOP-10</t>
        </is>
      </c>
      <c r="G7" t="inlineStr">
        <is>
          <t>16-bit 4ch I2C ADC at 0x4A (ADDR-&gt;SDA), differential PD level monitor (U201)</t>
        </is>
      </c>
      <c r="H7" t="inlineStr">
        <is>
          <t>296-38849-2-ND</t>
        </is>
      </c>
      <c r="I7" t="inlineStr">
        <is>
          <t>Texas Instruments</t>
        </is>
      </c>
      <c r="J7" t="n">
        <v>45807</v>
      </c>
      <c r="K7" t="inlineStr">
        <is>
          <t>Active</t>
        </is>
      </c>
      <c r="L7" t="n">
        <v>1</v>
      </c>
      <c r="M7" t="n">
        <v>1</v>
      </c>
      <c r="N7" s="2" t="n">
        <v>5.28</v>
      </c>
      <c r="O7" s="2">
        <f>N7*L7</f>
        <v/>
      </c>
      <c r="Q7" t="inlineStr">
        <is>
          <t>https://www.ti.com/general/docs/suppproductinfo.tsp?distId=10&amp;gotoUrl=https%3A%2F%2Fwww.ti.com%2Flit%2Fgpn%2Fads1113</t>
        </is>
      </c>
      <c r="R7" t="inlineStr"/>
    </row>
    <row r="8">
      <c r="A8" t="n">
        <v>1</v>
      </c>
      <c r="B8" t="inlineStr">
        <is>
          <t>AR0805FR-07357KL</t>
        </is>
      </c>
      <c r="C8" t="inlineStr">
        <is>
          <t>Yageo</t>
        </is>
      </c>
      <c r="D8" t="inlineStr">
        <is>
          <t>AFE_Card R144</t>
        </is>
      </c>
      <c r="E8" t="inlineStr">
        <is>
          <t>357k</t>
        </is>
      </c>
      <c r="F8" t="inlineStr">
        <is>
          <t>R_0805</t>
        </is>
      </c>
      <c r="G8" t="inlineStr">
        <is>
          <t>Res 357k 1% 0805 (LT3042 PGFB divider top; PG trips at 11.0V)</t>
        </is>
      </c>
      <c r="H8" t="inlineStr">
        <is>
          <t>AR0805FR-07357KL-ND</t>
        </is>
      </c>
      <c r="I8" t="inlineStr">
        <is>
          <t>YAGEO</t>
        </is>
      </c>
      <c r="J8" t="n">
        <v>0</v>
      </c>
      <c r="K8" t="inlineStr">
        <is>
          <t>Active</t>
        </is>
      </c>
      <c r="L8" t="n">
        <v>1</v>
      </c>
      <c r="M8" t="n">
        <v>5000</v>
      </c>
      <c r="N8" s="2" t="n">
        <v>0.08092000000000001</v>
      </c>
      <c r="O8" s="2">
        <f>N8*L8</f>
        <v/>
      </c>
      <c r="Q8" t="inlineStr">
        <is>
          <t>https://yageogroup.com/content/datasheet/asset/file/PYU-AR_51_ROHS_L</t>
        </is>
      </c>
      <c r="R8" t="inlineStr">
        <is>
          <t>LOW STOCK (0 &lt; 1)</t>
        </is>
      </c>
    </row>
    <row r="9">
      <c r="A9" t="n">
        <v>1</v>
      </c>
      <c r="B9" t="inlineStr">
        <is>
          <t>C0805C105K5RACTU</t>
        </is>
      </c>
      <c r="C9" t="inlineStr">
        <is>
          <t>Kemet</t>
        </is>
      </c>
      <c r="D9" t="inlineStr">
        <is>
          <t>AFE_Card C241</t>
        </is>
      </c>
      <c r="E9" t="inlineStr">
        <is>
          <t>1uF</t>
        </is>
      </c>
      <c r="F9" t="inlineStr">
        <is>
          <t>C_0805</t>
        </is>
      </c>
      <c r="G9" t="inlineStr">
        <is>
          <t>MLCC 1uF 50V X7R 0805 (VREF_MID local bulk)</t>
        </is>
      </c>
      <c r="H9" t="inlineStr">
        <is>
          <t>399-C0805C105K5RACTUTR-ND</t>
        </is>
      </c>
      <c r="I9" t="inlineStr">
        <is>
          <t>KEMET</t>
        </is>
      </c>
      <c r="J9" t="n">
        <v>132650</v>
      </c>
      <c r="K9" t="inlineStr">
        <is>
          <t>Active</t>
        </is>
      </c>
      <c r="L9" t="n">
        <v>1</v>
      </c>
      <c r="M9" t="n">
        <v>1</v>
      </c>
      <c r="N9" s="2" t="n">
        <v>0.87</v>
      </c>
      <c r="O9" s="2">
        <f>N9*L9</f>
        <v/>
      </c>
      <c r="Q9" t="inlineStr">
        <is>
          <t>https://yageogroup.com/content/datasheet/asset/file/KEM_C1002_X7R_SMD</t>
        </is>
      </c>
      <c r="R9" t="inlineStr"/>
    </row>
    <row r="10">
      <c r="A10" t="n">
        <v>11</v>
      </c>
      <c r="B10" t="inlineStr">
        <is>
          <t>C0805C106K3PACTU</t>
        </is>
      </c>
      <c r="C10" t="inlineStr">
        <is>
          <t>Kemet</t>
        </is>
      </c>
      <c r="D10" t="inlineStr">
        <is>
          <t>AFE_Card C215,C223,C226,C228,C229,C231,C232,C242,C243,C244,C252</t>
        </is>
      </c>
      <c r="E10" t="inlineStr">
        <is>
          <t>10uF</t>
        </is>
      </c>
      <c r="F10" t="inlineStr">
        <is>
          <t>C_0805</t>
        </is>
      </c>
      <c r="G10" t="inlineStr">
        <is>
          <t>MLCC 10uF 25V X5R 0805 (rail bulk +/-5V, +/-15V, I2C-3V3, VREF_TIA)</t>
        </is>
      </c>
      <c r="H10" t="inlineStr">
        <is>
          <t>399-11939-2-ND</t>
        </is>
      </c>
      <c r="I10" t="inlineStr">
        <is>
          <t>KEMET</t>
        </is>
      </c>
      <c r="J10" t="n">
        <v>188739</v>
      </c>
      <c r="K10" t="inlineStr">
        <is>
          <t>Active</t>
        </is>
      </c>
      <c r="L10" t="n">
        <v>11</v>
      </c>
      <c r="M10" t="n">
        <v>10</v>
      </c>
      <c r="N10" s="2" t="n">
        <v>0.136</v>
      </c>
      <c r="O10" s="2">
        <f>N10*L10</f>
        <v/>
      </c>
      <c r="Q10" t="inlineStr">
        <is>
          <t>https://yageogroup.com/content/datasheet/asset/file/KEM_C1006_X5R_SMD</t>
        </is>
      </c>
      <c r="R10" t="inlineStr"/>
    </row>
    <row r="11">
      <c r="A11" t="n">
        <v>2</v>
      </c>
      <c r="B11" t="inlineStr">
        <is>
          <t>C0805C475K3RACTU</t>
        </is>
      </c>
      <c r="C11" t="inlineStr">
        <is>
          <t>Kemet</t>
        </is>
      </c>
      <c r="D11" t="inlineStr">
        <is>
          <t>AFE_Card C1,C2</t>
        </is>
      </c>
      <c r="E11" t="inlineStr">
        <is>
          <t>4.7uF</t>
        </is>
      </c>
      <c r="F11" t="inlineStr">
        <is>
          <t>C_0805</t>
        </is>
      </c>
      <c r="G11" t="inlineStr">
        <is>
          <t>MLCC 4.7uF 25V X7R 0805 (LT3042 SET soft-start + output)</t>
        </is>
      </c>
      <c r="H11" t="inlineStr">
        <is>
          <t>399-C0805C475K3RACTUTR-ND</t>
        </is>
      </c>
      <c r="I11" t="inlineStr">
        <is>
          <t>KEMET</t>
        </is>
      </c>
      <c r="J11" t="n">
        <v>66372</v>
      </c>
      <c r="K11" t="inlineStr">
        <is>
          <t>Active</t>
        </is>
      </c>
      <c r="L11" t="n">
        <v>2</v>
      </c>
      <c r="M11" t="n">
        <v>1</v>
      </c>
      <c r="N11" s="2" t="n">
        <v>0.64</v>
      </c>
      <c r="O11" s="2">
        <f>N11*L11</f>
        <v/>
      </c>
      <c r="Q11" t="inlineStr">
        <is>
          <t>https://yageogroup.com/content/datasheet/asset/file/KEM_C1002_X7R_SMD</t>
        </is>
      </c>
      <c r="R11" t="inlineStr"/>
    </row>
    <row r="12">
      <c r="A12" t="n">
        <v>2</v>
      </c>
      <c r="B12" t="inlineStr">
        <is>
          <t>C0805C680J5GACTU</t>
        </is>
      </c>
      <c r="C12" t="inlineStr">
        <is>
          <t>Kemet</t>
        </is>
      </c>
      <c r="D12" t="inlineStr">
        <is>
          <t>AFE_Card C98,C99</t>
        </is>
      </c>
      <c r="E12" t="inlineStr">
        <is>
          <t>68pF C0G</t>
        </is>
      </c>
      <c r="F12" t="inlineStr">
        <is>
          <t>C_0805</t>
        </is>
      </c>
      <c r="G12" t="inlineStr">
        <is>
          <t>MLCC 68pF 50V C0G 0805 (ERR stage 2nd pole, across Rf C98/99)</t>
        </is>
      </c>
      <c r="H12" t="inlineStr">
        <is>
          <t>399-C0805C680J5GACTUTR-ND</t>
        </is>
      </c>
      <c r="I12" t="inlineStr">
        <is>
          <t>KEMET</t>
        </is>
      </c>
      <c r="J12" t="n">
        <v>27691</v>
      </c>
      <c r="K12" t="inlineStr">
        <is>
          <t>Active</t>
        </is>
      </c>
      <c r="L12" t="n">
        <v>2</v>
      </c>
      <c r="M12" t="n">
        <v>1</v>
      </c>
      <c r="N12" s="2" t="n">
        <v>0.14</v>
      </c>
      <c r="O12" s="2">
        <f>N12*L12</f>
        <v/>
      </c>
      <c r="Q12" t="inlineStr">
        <is>
          <t>https://yageogroup.com/content/datasheet/asset/file/KEM_C1003_C0G_SMD</t>
        </is>
      </c>
      <c r="R12" t="inlineStr"/>
    </row>
    <row r="13">
      <c r="A13" t="n">
        <v>2</v>
      </c>
      <c r="B13" t="inlineStr">
        <is>
          <t>CL21B102KBANNNC</t>
        </is>
      </c>
      <c r="C13" t="inlineStr">
        <is>
          <t>Samsung</t>
        </is>
      </c>
      <c r="D13" t="inlineStr">
        <is>
          <t>AFE_Card C96,C97</t>
        </is>
      </c>
      <c r="E13" t="inlineStr">
        <is>
          <t>1nF</t>
        </is>
      </c>
      <c r="F13" t="inlineStr">
        <is>
          <t>C_0805</t>
        </is>
      </c>
      <c r="G13" t="inlineStr">
        <is>
          <t>MLCC 1nF 50V X7R 0805 (ERR filter 1st pole C96/97)</t>
        </is>
      </c>
      <c r="H13" t="inlineStr">
        <is>
          <t>1276-1020-2-ND</t>
        </is>
      </c>
      <c r="I13" t="inlineStr">
        <is>
          <t>Samsung Electro-Mechanics</t>
        </is>
      </c>
      <c r="J13" t="n">
        <v>1371219</v>
      </c>
      <c r="K13" t="inlineStr">
        <is>
          <t>Active</t>
        </is>
      </c>
      <c r="L13" t="n">
        <v>2</v>
      </c>
      <c r="M13" t="n">
        <v>1</v>
      </c>
      <c r="N13" s="2" t="n">
        <v>0.1</v>
      </c>
      <c r="O13" s="2">
        <f>N13*L13</f>
        <v/>
      </c>
      <c r="Q13" t="inlineStr">
        <is>
          <t>//mm.digikey.com/Volume0/opasdata/d220001/medias/docus/8923/DataSheet_CL21B102KBANNN_20260513.pdf</t>
        </is>
      </c>
      <c r="R13" t="inlineStr"/>
    </row>
    <row r="14">
      <c r="A14" t="n">
        <v>2</v>
      </c>
      <c r="B14" t="inlineStr">
        <is>
          <t>CL21B103KBANNNC</t>
        </is>
      </c>
      <c r="C14" t="inlineStr">
        <is>
          <t>Samsung</t>
        </is>
      </c>
      <c r="D14" t="inlineStr">
        <is>
          <t>AFE_Card C94,C95</t>
        </is>
      </c>
      <c r="E14" t="inlineStr">
        <is>
          <t>10nF</t>
        </is>
      </c>
      <c r="F14" t="inlineStr">
        <is>
          <t>C_0805</t>
        </is>
      </c>
      <c r="G14" t="inlineStr">
        <is>
          <t>MLCC 10nF 50V X7R 0805 (TIA-&gt;mixer RF AC-couple C94/95)</t>
        </is>
      </c>
      <c r="H14" t="inlineStr">
        <is>
          <t>1276-1015-2-ND</t>
        </is>
      </c>
      <c r="I14" t="inlineStr">
        <is>
          <t>Samsung Electro-Mechanics</t>
        </is>
      </c>
      <c r="J14" t="n">
        <v>2412324</v>
      </c>
      <c r="K14" t="inlineStr">
        <is>
          <t>Active</t>
        </is>
      </c>
      <c r="L14" t="n">
        <v>2</v>
      </c>
      <c r="M14" t="n">
        <v>1</v>
      </c>
      <c r="N14" s="2" t="n">
        <v>0.1</v>
      </c>
      <c r="O14" s="2">
        <f>N14*L14</f>
        <v/>
      </c>
      <c r="Q14" t="inlineStr">
        <is>
          <t>https://www.samsungsem.com/kr/support/product-search/mlcc/CL21B103KBANNNC.jsp</t>
        </is>
      </c>
      <c r="R14" t="inlineStr"/>
    </row>
    <row r="15">
      <c r="A15" t="n">
        <v>32</v>
      </c>
      <c r="B15" t="inlineStr">
        <is>
          <t>CL21B104KBCNNNC</t>
        </is>
      </c>
      <c r="C15" t="inlineStr">
        <is>
          <t>Samsung</t>
        </is>
      </c>
      <c r="D15" t="inlineStr">
        <is>
          <t>AFE_Card C213,C214,C216,C217,C218,C219,C220,C221,C222,C224,C225,C227,C230,C233,C234,C235,C236,C237,C238,C239,C240,C245,C246,C247,C248,C249,C250,C251,C253,C254,C_K1,C_K2</t>
        </is>
      </c>
      <c r="E15" t="inlineStr">
        <is>
          <t>100nF</t>
        </is>
      </c>
      <c r="F15" t="inlineStr">
        <is>
          <t>C_0805</t>
        </is>
      </c>
      <c r="G15" t="inlineStr">
        <is>
          <t>MLCC 100nF 50V X7R 0805 (decoupling + coupling + PD level + VB bypass)</t>
        </is>
      </c>
      <c r="H15" t="inlineStr">
        <is>
          <t>1276-1003-2-ND</t>
        </is>
      </c>
      <c r="I15" t="inlineStr">
        <is>
          <t>Samsung Electro-Mechanics</t>
        </is>
      </c>
      <c r="J15" t="n">
        <v>7250710</v>
      </c>
      <c r="K15" t="inlineStr">
        <is>
          <t>Active</t>
        </is>
      </c>
      <c r="L15" t="n">
        <v>32</v>
      </c>
      <c r="M15" t="n">
        <v>10</v>
      </c>
      <c r="N15" s="2" t="n">
        <v>0.038</v>
      </c>
      <c r="O15" s="2">
        <f>N15*L15</f>
        <v/>
      </c>
      <c r="Q15" t="inlineStr">
        <is>
          <t>//mm.digikey.com/Volume0/opasdata/d220001/medias/docus/609/CL21B104KBCNNN_Spec.pdf</t>
        </is>
      </c>
      <c r="R15" t="inlineStr"/>
    </row>
    <row r="16">
      <c r="A16" t="n">
        <v>2</v>
      </c>
      <c r="B16" t="inlineStr">
        <is>
          <t>CRCW08051K00FKEA</t>
        </is>
      </c>
      <c r="C16" t="inlineStr">
        <is>
          <t>Vishay Dale</t>
        </is>
      </c>
      <c r="D16" t="inlineStr">
        <is>
          <t>AFE_Card R125,R128</t>
        </is>
      </c>
      <c r="E16" t="inlineStr">
        <is>
          <t>1.00k</t>
        </is>
      </c>
      <c r="F16" t="inlineStr">
        <is>
          <t>R_0805</t>
        </is>
      </c>
      <c r="G16" t="inlineStr">
        <is>
          <t>Res 1.00k 1% 0805 (LO buffer Rg; Av=1+Rf/Rg=3)</t>
        </is>
      </c>
      <c r="H16" t="inlineStr">
        <is>
          <t>541-1.00KCTR-ND</t>
        </is>
      </c>
      <c r="I16" t="inlineStr">
        <is>
          <t>Vishay Dale</t>
        </is>
      </c>
      <c r="J16" t="n">
        <v>801511</v>
      </c>
      <c r="K16" t="inlineStr">
        <is>
          <t>Active</t>
        </is>
      </c>
      <c r="L16" t="n">
        <v>2</v>
      </c>
      <c r="M16" t="n">
        <v>1</v>
      </c>
      <c r="N16" s="2" t="n">
        <v>0.1</v>
      </c>
      <c r="O16" s="2">
        <f>N16*L16</f>
        <v/>
      </c>
      <c r="Q16" t="inlineStr">
        <is>
          <t>https://www.vishay.com/docs/20035/dcrcwe3.pdf</t>
        </is>
      </c>
      <c r="R16" t="inlineStr"/>
    </row>
    <row r="17">
      <c r="A17" t="n">
        <v>1</v>
      </c>
      <c r="B17" t="inlineStr">
        <is>
          <t>ERA-6AEB124V</t>
        </is>
      </c>
      <c r="C17" t="inlineStr">
        <is>
          <t>Panasonic</t>
        </is>
      </c>
      <c r="D17" t="inlineStr">
        <is>
          <t>AFE_Card R2</t>
        </is>
      </c>
      <c r="E17" t="inlineStr">
        <is>
          <t>120k 0.1%</t>
        </is>
      </c>
      <c r="F17" t="inlineStr">
        <is>
          <t>R_0805</t>
        </is>
      </c>
      <c r="G17" t="inlineStr">
        <is>
          <t>Res 120k 0.1% 0805 (LT3042 SET -&gt; 12V PD bias)</t>
        </is>
      </c>
      <c r="H17" t="inlineStr">
        <is>
          <t>P120KDATR-ND</t>
        </is>
      </c>
      <c r="I17" t="inlineStr">
        <is>
          <t>Panasonic Industry</t>
        </is>
      </c>
      <c r="J17" t="n">
        <v>18344</v>
      </c>
      <c r="K17" t="inlineStr">
        <is>
          <t>Active</t>
        </is>
      </c>
      <c r="L17" t="n">
        <v>1</v>
      </c>
      <c r="M17" t="n">
        <v>1</v>
      </c>
      <c r="N17" s="2" t="n">
        <v>0.1</v>
      </c>
      <c r="O17" s="2">
        <f>N17*L17</f>
        <v/>
      </c>
      <c r="Q17" t="inlineStr">
        <is>
          <t>https://industrial.panasonic.com/cdbs/www-data/pdf/RDM0000/AOA0000C307.pdf</t>
        </is>
      </c>
      <c r="R17" t="inlineStr"/>
    </row>
    <row r="18">
      <c r="A18" t="n">
        <v>2</v>
      </c>
      <c r="B18" t="inlineStr">
        <is>
          <t>GRM1555C1H1R0CA01D</t>
        </is>
      </c>
      <c r="C18" t="inlineStr">
        <is>
          <t>Murata</t>
        </is>
      </c>
      <c r="D18" t="inlineStr">
        <is>
          <t>AFE_Card C78,C79</t>
        </is>
      </c>
      <c r="E18" t="inlineStr">
        <is>
          <t>1pF C0G</t>
        </is>
      </c>
      <c r="F18" t="inlineStr">
        <is>
          <t>C_0402</t>
        </is>
      </c>
      <c r="G18" t="inlineStr">
        <is>
          <t>MLCC 1.0pF 50V C0G 0402 (TIA feedback Cf C78/79)</t>
        </is>
      </c>
      <c r="H18" t="inlineStr">
        <is>
          <t>490-3199-2-ND</t>
        </is>
      </c>
      <c r="I18" t="inlineStr">
        <is>
          <t>Murata Electronics</t>
        </is>
      </c>
      <c r="J18" t="n">
        <v>8818</v>
      </c>
      <c r="K18" t="inlineStr">
        <is>
          <t>Active</t>
        </is>
      </c>
      <c r="L18" t="n">
        <v>2</v>
      </c>
      <c r="M18" t="n">
        <v>1</v>
      </c>
      <c r="N18" s="2" t="n">
        <v>0.11</v>
      </c>
      <c r="O18" s="2">
        <f>N18*L18</f>
        <v/>
      </c>
      <c r="Q18" t="inlineStr">
        <is>
          <t>//mm.digikey.com/Volume0/opasdata/d220001/medias/docus/8942/490_Chip_Multilayer_CAT2021_MLCC.pdf</t>
        </is>
      </c>
      <c r="R18" t="inlineStr"/>
    </row>
    <row r="19">
      <c r="A19" t="n">
        <v>1</v>
      </c>
      <c r="B19" t="inlineStr">
        <is>
          <t>LT3042EMSE#PBF</t>
        </is>
      </c>
      <c r="C19" t="inlineStr">
        <is>
          <t>Analog Devices</t>
        </is>
      </c>
      <c r="D19" t="inlineStr">
        <is>
          <t>AFE_Card U1</t>
        </is>
      </c>
      <c r="E19" t="inlineStr">
        <is>
          <t>LT3042</t>
        </is>
      </c>
      <c r="F19" t="inlineStr">
        <is>
          <t>MSOP-12-EP</t>
        </is>
      </c>
      <c r="G19" t="inlineStr">
        <is>
          <t>Ultralow-noise LDO, SET=120k-&gt;12V PD bias (U1)</t>
        </is>
      </c>
      <c r="H19" t="inlineStr">
        <is>
          <t>505-LT3042EMSE#PBF-ND</t>
        </is>
      </c>
      <c r="I19" t="inlineStr">
        <is>
          <t>Analog Devices Inc.</t>
        </is>
      </c>
      <c r="J19" t="n">
        <v>1783</v>
      </c>
      <c r="K19" t="inlineStr">
        <is>
          <t>Active</t>
        </is>
      </c>
      <c r="L19" t="n">
        <v>1</v>
      </c>
      <c r="M19" t="n">
        <v>1</v>
      </c>
      <c r="N19" s="2" t="n">
        <v>7.55</v>
      </c>
      <c r="O19" s="2">
        <f>N19*L19</f>
        <v/>
      </c>
      <c r="Q19" t="inlineStr">
        <is>
          <t>https://www.analog.com/media/en/technical-documentation/data-sheets/3042fb.pdf</t>
        </is>
      </c>
      <c r="R19" t="inlineStr"/>
    </row>
    <row r="20">
      <c r="A20" t="n">
        <v>2</v>
      </c>
      <c r="B20" t="inlineStr">
        <is>
          <t>OPA192IDBVR</t>
        </is>
      </c>
      <c r="C20" t="inlineStr">
        <is>
          <t>Texas Instruments</t>
        </is>
      </c>
      <c r="D20" t="inlineStr">
        <is>
          <t>AFE_Card U202,U203</t>
        </is>
      </c>
      <c r="E20" t="inlineStr">
        <is>
          <t>OPA192</t>
        </is>
      </c>
      <c r="F20" t="inlineStr">
        <is>
          <t>SOT-23-5</t>
        </is>
      </c>
      <c r="G20" t="inlineStr">
        <is>
          <t>Precision op-amp, ERR inverting x4.99 level-shift output stage (U202/203)</t>
        </is>
      </c>
      <c r="H20" t="inlineStr">
        <is>
          <t>296-42105-2-ND</t>
        </is>
      </c>
      <c r="I20" t="inlineStr">
        <is>
          <t>Texas Instruments</t>
        </is>
      </c>
      <c r="J20" t="n">
        <v>22047</v>
      </c>
      <c r="K20" t="inlineStr">
        <is>
          <t>Active</t>
        </is>
      </c>
      <c r="L20" t="n">
        <v>2</v>
      </c>
      <c r="M20" t="n">
        <v>1</v>
      </c>
      <c r="N20" s="2" t="n">
        <v>3.83</v>
      </c>
      <c r="O20" s="2">
        <f>N20*L20</f>
        <v/>
      </c>
      <c r="Q20" t="inlineStr">
        <is>
          <t>https://www.ti.com/general/docs/suppproductinfo.tsp?distId=10&amp;gotoUrl=https%3A%2F%2Fwww.ti.com%2Flit%2Fgpn%2Fopa192</t>
        </is>
      </c>
      <c r="R20" t="inlineStr"/>
    </row>
    <row r="21">
      <c r="A21" t="n">
        <v>2</v>
      </c>
      <c r="B21" t="inlineStr">
        <is>
          <t>OPA820IDBVR</t>
        </is>
      </c>
      <c r="C21" t="inlineStr">
        <is>
          <t>Texas Instruments</t>
        </is>
      </c>
      <c r="D21" t="inlineStr">
        <is>
          <t>AFE_Card U204,U205</t>
        </is>
      </c>
      <c r="E21" t="inlineStr">
        <is>
          <t>OPA820</t>
        </is>
      </c>
      <c r="F21" t="inlineStr">
        <is>
          <t>SOT-23-5</t>
        </is>
      </c>
      <c r="G21" t="inlineStr">
        <is>
          <t>240MHz VFB op-amp, LO x3 buffer +/-5V (U204/205)</t>
        </is>
      </c>
      <c r="H21" t="inlineStr">
        <is>
          <t>296-32197-2-ND</t>
        </is>
      </c>
      <c r="I21" t="inlineStr">
        <is>
          <t>Texas Instruments</t>
        </is>
      </c>
      <c r="J21" t="n">
        <v>5682</v>
      </c>
      <c r="K21" t="inlineStr">
        <is>
          <t>Active</t>
        </is>
      </c>
      <c r="L21" t="n">
        <v>2</v>
      </c>
      <c r="M21" t="n">
        <v>1</v>
      </c>
      <c r="N21" s="2" t="n">
        <v>4.82</v>
      </c>
      <c r="O21" s="2">
        <f>N21*L21</f>
        <v/>
      </c>
      <c r="Q21" t="inlineStr">
        <is>
          <t>https://www.ti.com/general/docs/suppproductinfo.tsp?distId=10&amp;gotoUrl=https%3A%2F%2Fwww.ti.com%2Flit%2Fgpn%2Fopa820</t>
        </is>
      </c>
      <c r="R21" t="inlineStr"/>
    </row>
    <row r="22">
      <c r="A22" t="n">
        <v>2</v>
      </c>
      <c r="B22" t="inlineStr">
        <is>
          <t>OPA859IDSGR</t>
        </is>
      </c>
      <c r="C22" t="inlineStr">
        <is>
          <t>Texas Instruments</t>
        </is>
      </c>
      <c r="D22" t="inlineStr">
        <is>
          <t>AFE_Card U30,U31</t>
        </is>
      </c>
      <c r="E22" t="inlineStr">
        <is>
          <t>OPA859</t>
        </is>
      </c>
      <c r="F22" t="inlineStr">
        <is>
          <t>SON-8</t>
        </is>
      </c>
      <c r="G22" t="inlineStr">
        <is>
          <t>1.8GHz unity-gain-stable (compensated) FET-input amp, PD transimpedance TIA (U30/31)</t>
        </is>
      </c>
      <c r="H22" t="inlineStr">
        <is>
          <t>296-51513-2-ND</t>
        </is>
      </c>
      <c r="I22" t="inlineStr">
        <is>
          <t>Texas Instruments</t>
        </is>
      </c>
      <c r="J22" t="n">
        <v>1926</v>
      </c>
      <c r="K22" t="inlineStr">
        <is>
          <t>Active</t>
        </is>
      </c>
      <c r="L22" t="n">
        <v>2</v>
      </c>
      <c r="M22" t="n">
        <v>1</v>
      </c>
      <c r="N22" s="2" t="n">
        <v>5.53</v>
      </c>
      <c r="O22" s="2">
        <f>N22*L22</f>
        <v/>
      </c>
      <c r="Q22" t="inlineStr">
        <is>
          <t>https://www.ti.com/general/docs/suppproductinfo.tsp?distId=10&amp;gotoUrl=https%3A%2F%2Fwww.ti.com%2Flit%2Fgpn%2Fopa859</t>
        </is>
      </c>
      <c r="R22" t="inlineStr"/>
    </row>
    <row r="23">
      <c r="A23" t="n">
        <v>3</v>
      </c>
      <c r="B23" t="inlineStr">
        <is>
          <t>RC0805FR-07100KL</t>
        </is>
      </c>
      <c r="C23" t="inlineStr">
        <is>
          <t>Yageo</t>
        </is>
      </c>
      <c r="D23" t="inlineStr">
        <is>
          <t>AFE_Card R133,R146,R147</t>
        </is>
      </c>
      <c r="E23" t="inlineStr">
        <is>
          <t>100k</t>
        </is>
      </c>
      <c r="F23" t="inlineStr">
        <is>
          <t>R_0805</t>
        </is>
      </c>
      <c r="G23" t="inlineStr">
        <is>
          <t>Res 100k 1% 0805 (VREF_TIA bottom leg -&gt; 3.336V TIA reference)</t>
        </is>
      </c>
      <c r="H23" t="inlineStr">
        <is>
          <t>311-100KCRTR-ND</t>
        </is>
      </c>
      <c r="I23" t="inlineStr">
        <is>
          <t>YAGEO</t>
        </is>
      </c>
      <c r="J23" t="n">
        <v>649761</v>
      </c>
      <c r="K23" t="inlineStr">
        <is>
          <t>Active</t>
        </is>
      </c>
      <c r="L23" t="n">
        <v>3</v>
      </c>
      <c r="M23" t="n">
        <v>1</v>
      </c>
      <c r="N23" s="2" t="n">
        <v>0.1</v>
      </c>
      <c r="O23" s="2">
        <f>N23*L23</f>
        <v/>
      </c>
      <c r="Q23" t="inlineStr">
        <is>
          <t>https://yageogroup.com/content/datasheet/asset/file/PYU-RC_GROUP_51_ROHS_L</t>
        </is>
      </c>
      <c r="R23" t="inlineStr"/>
    </row>
    <row r="24">
      <c r="A24" t="n">
        <v>6</v>
      </c>
      <c r="B24" t="inlineStr">
        <is>
          <t>RC0805FR-07100RL</t>
        </is>
      </c>
      <c r="C24" t="inlineStr">
        <is>
          <t>Yageo</t>
        </is>
      </c>
      <c r="D24" t="inlineStr">
        <is>
          <t>AFE_Card R130,R131,R211,R212,R_S1,R_S2</t>
        </is>
      </c>
      <c r="E24" t="inlineStr">
        <is>
          <t>100R</t>
        </is>
      </c>
      <c r="F24" t="inlineStr">
        <is>
          <t>R_0805</t>
        </is>
      </c>
      <c r="G24" t="inlineStr">
        <is>
          <t>Res 100R 1% 0805 (I2C series R211/212; VREF_TIA RC R130/131; PD bias R_S1/2)</t>
        </is>
      </c>
      <c r="H24" t="inlineStr">
        <is>
          <t>311-100CRTR-ND</t>
        </is>
      </c>
      <c r="I24" t="inlineStr">
        <is>
          <t>YAGEO</t>
        </is>
      </c>
      <c r="J24" t="n">
        <v>178768</v>
      </c>
      <c r="K24" t="inlineStr">
        <is>
          <t>Active</t>
        </is>
      </c>
      <c r="L24" t="n">
        <v>6</v>
      </c>
      <c r="M24" t="n">
        <v>1</v>
      </c>
      <c r="N24" s="2" t="n">
        <v>0.1</v>
      </c>
      <c r="O24" s="2">
        <f>N24*L24</f>
        <v/>
      </c>
      <c r="Q24" t="inlineStr">
        <is>
          <t>https://yageogroup.com/content/datasheet/asset/file/PYU-RC_GROUP_51_ROHS_L</t>
        </is>
      </c>
      <c r="R24" t="inlineStr"/>
    </row>
    <row r="25">
      <c r="A25" t="n">
        <v>15</v>
      </c>
      <c r="B25" t="inlineStr">
        <is>
          <t>RC0805FR-0710KL</t>
        </is>
      </c>
      <c r="C25" t="inlineStr">
        <is>
          <t>Yageo</t>
        </is>
      </c>
      <c r="D25" t="inlineStr">
        <is>
          <t>AFE_Card R118,R119,R120,R121,R122,R123,R126,R129,R134,R135,R136,R137,R145,R213,R214</t>
        </is>
      </c>
      <c r="E25" t="inlineStr">
        <is>
          <t>10k</t>
        </is>
      </c>
      <c r="F25" t="inlineStr">
        <is>
          <t>R_0805</t>
        </is>
      </c>
      <c r="G25" t="inlineStr">
        <is>
          <t>Res 10k 1% 0805 (AD835 X/Y bias, LO bias, ERR stage Ri, ADC dividers, PG bot)</t>
        </is>
      </c>
      <c r="H25" t="inlineStr">
        <is>
          <t>311-10.0KCRTR-ND</t>
        </is>
      </c>
      <c r="I25" t="inlineStr">
        <is>
          <t>YAGEO</t>
        </is>
      </c>
      <c r="J25" t="n">
        <v>3265482</v>
      </c>
      <c r="K25" t="inlineStr">
        <is>
          <t>Active</t>
        </is>
      </c>
      <c r="L25" t="n">
        <v>15</v>
      </c>
      <c r="M25" t="n">
        <v>10</v>
      </c>
      <c r="N25" s="2" t="n">
        <v>0.034</v>
      </c>
      <c r="O25" s="2">
        <f>N25*L25</f>
        <v/>
      </c>
      <c r="Q25" t="inlineStr">
        <is>
          <t>https://yageogroup.com/content/datasheet/asset/file/PYU-RC_GROUP_51_ROHS_L</t>
        </is>
      </c>
      <c r="R25" t="inlineStr"/>
    </row>
    <row r="26">
      <c r="A26" t="n">
        <v>1</v>
      </c>
      <c r="B26" t="inlineStr">
        <is>
          <t>RC0805FR-0710RL</t>
        </is>
      </c>
      <c r="C26" t="inlineStr">
        <is>
          <t>Yageo</t>
        </is>
      </c>
      <c r="D26" t="inlineStr">
        <is>
          <t>AFE_Card R216</t>
        </is>
      </c>
      <c r="E26" t="inlineStr">
        <is>
          <t>10R</t>
        </is>
      </c>
      <c r="F26" t="inlineStr">
        <is>
          <t>R_0805</t>
        </is>
      </c>
      <c r="G26" t="inlineStr">
        <is>
          <t>Res 10R 1% 0805 (I2C-3V3 filter R216)</t>
        </is>
      </c>
      <c r="H26" t="inlineStr">
        <is>
          <t>311-10.0CRTR-ND</t>
        </is>
      </c>
      <c r="I26" t="inlineStr">
        <is>
          <t>YAGEO</t>
        </is>
      </c>
      <c r="J26" t="n">
        <v>172149</v>
      </c>
      <c r="K26" t="inlineStr">
        <is>
          <t>Active</t>
        </is>
      </c>
      <c r="L26" t="n">
        <v>1</v>
      </c>
      <c r="M26" t="n">
        <v>1</v>
      </c>
      <c r="N26" s="2" t="n">
        <v>0.11</v>
      </c>
      <c r="O26" s="2">
        <f>N26*L26</f>
        <v/>
      </c>
      <c r="Q26" t="inlineStr">
        <is>
          <t>https://yageogroup.com/content/datasheet/asset/file/PYU-RC_GROUP_51_ROHS_L</t>
        </is>
      </c>
      <c r="R26" t="inlineStr"/>
    </row>
    <row r="27">
      <c r="A27" t="n">
        <v>2</v>
      </c>
      <c r="B27" t="inlineStr">
        <is>
          <t>RC0805FR-072KL</t>
        </is>
      </c>
      <c r="C27" t="inlineStr">
        <is>
          <t>Yageo</t>
        </is>
      </c>
      <c r="D27" t="inlineStr">
        <is>
          <t>AFE_Card R124,R127</t>
        </is>
      </c>
      <c r="E27" t="inlineStr">
        <is>
          <t>2.00k</t>
        </is>
      </c>
      <c r="F27" t="inlineStr">
        <is>
          <t>R_0805</t>
        </is>
      </c>
      <c r="G27" t="inlineStr">
        <is>
          <t>Res 2.00k 1% 0805 (LO buffer Rf, gain set)</t>
        </is>
      </c>
      <c r="H27" t="inlineStr">
        <is>
          <t>311-2.00KCRTR-ND</t>
        </is>
      </c>
      <c r="I27" t="inlineStr">
        <is>
          <t>YAGEO</t>
        </is>
      </c>
      <c r="J27" t="n">
        <v>251040</v>
      </c>
      <c r="K27" t="inlineStr">
        <is>
          <t>Active</t>
        </is>
      </c>
      <c r="L27" t="n">
        <v>2</v>
      </c>
      <c r="M27" t="n">
        <v>1</v>
      </c>
      <c r="N27" s="2" t="n">
        <v>0.1</v>
      </c>
      <c r="O27" s="2">
        <f>N27*L27</f>
        <v/>
      </c>
      <c r="Q27" t="inlineStr">
        <is>
          <t>https://yageogroup.com/content/datasheet/asset/file/PYU-RC_GROUP_51_ROHS_L</t>
        </is>
      </c>
      <c r="R27" t="inlineStr"/>
    </row>
    <row r="28">
      <c r="A28" t="n">
        <v>2</v>
      </c>
      <c r="B28" t="inlineStr">
        <is>
          <t>RC0805FR-073K3L</t>
        </is>
      </c>
      <c r="C28" t="inlineStr">
        <is>
          <t>Yageo</t>
        </is>
      </c>
      <c r="D28" t="inlineStr">
        <is>
          <t>AFE_Card R116,R117</t>
        </is>
      </c>
      <c r="E28" t="inlineStr">
        <is>
          <t>3.3k</t>
        </is>
      </c>
      <c r="F28" t="inlineStr">
        <is>
          <t>R_0805</t>
        </is>
      </c>
      <c r="G28" t="inlineStr">
        <is>
          <t>Res 3.3k 1% 0805 (ERR filter 1st pole R116/117)</t>
        </is>
      </c>
      <c r="H28" t="inlineStr">
        <is>
          <t>311-3.30KCRTR-ND</t>
        </is>
      </c>
      <c r="I28" t="inlineStr">
        <is>
          <t>YAGEO</t>
        </is>
      </c>
      <c r="J28" t="n">
        <v>167450</v>
      </c>
      <c r="K28" t="inlineStr">
        <is>
          <t>Active</t>
        </is>
      </c>
      <c r="L28" t="n">
        <v>2</v>
      </c>
      <c r="M28" t="n">
        <v>1</v>
      </c>
      <c r="N28" s="2" t="n">
        <v>0.1</v>
      </c>
      <c r="O28" s="2">
        <f>N28*L28</f>
        <v/>
      </c>
      <c r="Q28" t="inlineStr">
        <is>
          <t>https://yageogroup.com/content/datasheet/asset/file/PYU-RC_GROUP_51_ROHS_L</t>
        </is>
      </c>
      <c r="R28" t="inlineStr"/>
    </row>
    <row r="29">
      <c r="A29" t="n">
        <v>2</v>
      </c>
      <c r="B29" t="inlineStr">
        <is>
          <t>RC0805FR-0747RL</t>
        </is>
      </c>
      <c r="C29" t="inlineStr">
        <is>
          <t>Yageo</t>
        </is>
      </c>
      <c r="D29" t="inlineStr">
        <is>
          <t>AFE_Card R217,R218</t>
        </is>
      </c>
      <c r="E29" t="inlineStr">
        <is>
          <t>47R</t>
        </is>
      </c>
      <c r="F29" t="inlineStr">
        <is>
          <t>R_0805</t>
        </is>
      </c>
      <c r="G29" t="inlineStr">
        <is>
          <t>Res 47R 1% 0805 (ERR bus series R217/218)</t>
        </is>
      </c>
      <c r="H29" t="inlineStr">
        <is>
          <t>311-47.0CRTR-ND</t>
        </is>
      </c>
      <c r="I29" t="inlineStr">
        <is>
          <t>YAGEO</t>
        </is>
      </c>
      <c r="J29" t="n">
        <v>218802</v>
      </c>
      <c r="K29" t="inlineStr">
        <is>
          <t>Active</t>
        </is>
      </c>
      <c r="L29" t="n">
        <v>2</v>
      </c>
      <c r="M29" t="n">
        <v>1</v>
      </c>
      <c r="N29" s="2" t="n">
        <v>0.1</v>
      </c>
      <c r="O29" s="2">
        <f>N29*L29</f>
        <v/>
      </c>
      <c r="Q29" t="inlineStr">
        <is>
          <t>https://yageogroup.com/content/datasheet/asset/file/PYU-RC_GROUP_51_ROHS_L</t>
        </is>
      </c>
      <c r="R29" t="inlineStr"/>
    </row>
    <row r="30">
      <c r="A30" t="n">
        <v>5</v>
      </c>
      <c r="B30" t="inlineStr">
        <is>
          <t>RC0805FR-0749K9L</t>
        </is>
      </c>
      <c r="C30" t="inlineStr">
        <is>
          <t>Yageo</t>
        </is>
      </c>
      <c r="D30" t="inlineStr">
        <is>
          <t>AFE_Card R132,R138,R139,R140,R142</t>
        </is>
      </c>
      <c r="E30" t="inlineStr">
        <is>
          <t>49.9k</t>
        </is>
      </c>
      <c r="F30" t="inlineStr">
        <is>
          <t>R_0805</t>
        </is>
      </c>
      <c r="G30" t="inlineStr">
        <is>
          <t>Res 49.9k 1% 0805 (ERR stage Rf R138/139 -&gt; Av=-4.99; VREF_TIA top; VB dividers)</t>
        </is>
      </c>
      <c r="H30" t="inlineStr">
        <is>
          <t>311-49.9KCRTR-ND</t>
        </is>
      </c>
      <c r="I30" t="inlineStr">
        <is>
          <t>YAGEO</t>
        </is>
      </c>
      <c r="J30" t="n">
        <v>1060910</v>
      </c>
      <c r="K30" t="inlineStr">
        <is>
          <t>Active</t>
        </is>
      </c>
      <c r="L30" t="n">
        <v>5</v>
      </c>
      <c r="M30" t="n">
        <v>1</v>
      </c>
      <c r="N30" s="2" t="n">
        <v>0.1</v>
      </c>
      <c r="O30" s="2">
        <f>N30*L30</f>
        <v/>
      </c>
      <c r="Q30" t="inlineStr">
        <is>
          <t>https://yageogroup.com/content/datasheet/asset/file/PYU-RC_GROUP_51_ROHS_L</t>
        </is>
      </c>
      <c r="R30" t="inlineStr"/>
    </row>
    <row r="31">
      <c r="A31" t="n">
        <v>1</v>
      </c>
      <c r="B31" t="inlineStr">
        <is>
          <t>RC0805FR-076K04L</t>
        </is>
      </c>
      <c r="C31" t="inlineStr">
        <is>
          <t>Yageo</t>
        </is>
      </c>
      <c r="D31" t="inlineStr">
        <is>
          <t>AFE_Card R1</t>
        </is>
      </c>
      <c r="E31" t="inlineStr">
        <is>
          <t>6.04k</t>
        </is>
      </c>
      <c r="F31" t="inlineStr">
        <is>
          <t>R_0805</t>
        </is>
      </c>
      <c r="G31" t="inlineStr">
        <is>
          <t>Res 6.04k 1% 0805 (LT3042 ILIM ~21mA)</t>
        </is>
      </c>
      <c r="H31" t="inlineStr">
        <is>
          <t>311-6.04KCRTR-ND</t>
        </is>
      </c>
      <c r="I31" t="inlineStr">
        <is>
          <t>YAGEO</t>
        </is>
      </c>
      <c r="J31" t="n">
        <v>32355</v>
      </c>
      <c r="K31" t="inlineStr">
        <is>
          <t>Active</t>
        </is>
      </c>
      <c r="L31" t="n">
        <v>1</v>
      </c>
      <c r="M31" t="n">
        <v>1</v>
      </c>
      <c r="N31" s="2" t="n">
        <v>0.1</v>
      </c>
      <c r="O31" s="2">
        <f>N31*L31</f>
        <v/>
      </c>
      <c r="Q31" t="inlineStr">
        <is>
          <t>https://yageogroup.com/content/datasheet/asset/file/PYU-RC_GROUP_51_ROHS_L</t>
        </is>
      </c>
      <c r="R31" t="inlineStr"/>
    </row>
    <row r="32">
      <c r="A32" t="n">
        <v>2</v>
      </c>
      <c r="B32" t="inlineStr">
        <is>
          <t>RC0805FR-078K06L</t>
        </is>
      </c>
      <c r="C32" t="inlineStr">
        <is>
          <t>Yageo</t>
        </is>
      </c>
      <c r="D32" t="inlineStr">
        <is>
          <t>AFE_Card R100,R101</t>
        </is>
      </c>
      <c r="E32" t="inlineStr">
        <is>
          <t>8.06k</t>
        </is>
      </c>
      <c r="F32" t="inlineStr">
        <is>
          <t>R_0805</t>
        </is>
      </c>
      <c r="G32" t="inlineStr">
        <is>
          <t>Res 8.06k 1% 0805 (TIA Rf R100/101; sch says 8k -&gt; 8.06k nearest E96)</t>
        </is>
      </c>
      <c r="H32" t="inlineStr">
        <is>
          <t>311-8.06KCRTR-ND</t>
        </is>
      </c>
      <c r="I32" t="inlineStr">
        <is>
          <t>YAGEO</t>
        </is>
      </c>
      <c r="J32" t="n">
        <v>58336</v>
      </c>
      <c r="K32" t="inlineStr">
        <is>
          <t>Active</t>
        </is>
      </c>
      <c r="L32" t="n">
        <v>2</v>
      </c>
      <c r="M32" t="n">
        <v>1</v>
      </c>
      <c r="N32" s="2" t="n">
        <v>0.1</v>
      </c>
      <c r="O32" s="2">
        <f>N32*L32</f>
        <v/>
      </c>
      <c r="Q32" t="inlineStr">
        <is>
          <t>https://yageogroup.com/content/datasheet/asset/file/PYU-RC_GROUP_51_ROHS_L</t>
        </is>
      </c>
      <c r="R32" t="inlineStr"/>
    </row>
    <row r="33">
      <c r="A33" t="n">
        <v>2</v>
      </c>
      <c r="B33" t="inlineStr">
        <is>
          <t>RC0805FR-078K25L</t>
        </is>
      </c>
      <c r="C33" t="inlineStr">
        <is>
          <t>Yageo</t>
        </is>
      </c>
      <c r="D33" t="inlineStr">
        <is>
          <t>AFE_Card R141,R143</t>
        </is>
      </c>
      <c r="E33" t="inlineStr">
        <is>
          <t>8.25k</t>
        </is>
      </c>
      <c r="F33" t="inlineStr">
        <is>
          <t>R_0805</t>
        </is>
      </c>
      <c r="G33" t="inlineStr">
        <is>
          <t>Res 8.25k 1% 0805 (VB divider bottom; centres ERR on VREF_MID at DAC midscale)</t>
        </is>
      </c>
      <c r="H33" t="inlineStr">
        <is>
          <t>311-8.25KCRTR-ND</t>
        </is>
      </c>
      <c r="I33" t="inlineStr">
        <is>
          <t>YAGEO</t>
        </is>
      </c>
      <c r="J33" t="n">
        <v>2696</v>
      </c>
      <c r="K33" t="inlineStr">
        <is>
          <t>Active</t>
        </is>
      </c>
      <c r="L33" t="n">
        <v>2</v>
      </c>
      <c r="M33" t="n">
        <v>1</v>
      </c>
      <c r="N33" s="2" t="n">
        <v>0.1</v>
      </c>
      <c r="O33" s="2">
        <f>N33*L33</f>
        <v/>
      </c>
      <c r="Q33" t="inlineStr">
        <is>
          <t>https://yageogroup.com/content/datasheet/asset/file/PYU-RC_GROUP_51_ROHS_L</t>
        </is>
      </c>
      <c r="R33" t="inlineStr"/>
    </row>
    <row r="34">
      <c r="N34" s="2" t="n"/>
      <c r="O34" s="2" t="n"/>
    </row>
    <row r="35">
      <c r="N35" s="3" t="inlineStr">
        <is>
          <t>TOTAL</t>
        </is>
      </c>
      <c r="O35" s="3">
        <f>SUM(O2:O33)</f>
        <v/>
      </c>
    </row>
    <row r="36">
      <c r="H36" s="4" t="inlineStr">
        <is>
          <t>Prices pulled 2026-07-26 14:56 (USD), 1 board(s)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2026-07-26T18:55:05Z</dcterms:created>
  <dcterms:modified xmlns:dcterms="http://purl.org/dc/terms/" xmlns:xsi="http://www.w3.org/2001/XMLSchema-instance" xsi:type="dcterms:W3CDTF">2026-07-26T18:56:38Z</dcterms:modified>
</cp:coreProperties>
</file>