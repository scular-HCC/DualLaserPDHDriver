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####;($#,##0.00####);-"/>
  </numFmts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164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cols>
    <col width="18" customWidth="1" min="8" max="8"/>
    <col width="22" customWidth="1" min="9" max="9"/>
    <col width="12" customWidth="1" min="10" max="10"/>
    <col width="12" customWidth="1" min="11" max="11"/>
    <col width="10" customWidth="1" min="12" max="12"/>
    <col width="11" customWidth="1" min="13" max="13"/>
    <col width="12" customWidth="1" min="14" max="14"/>
    <col width="14" customWidth="1" min="15" max="15"/>
    <col width="8" customWidth="1" min="16" max="16"/>
    <col width="30" customWidth="1" min="17" max="17"/>
    <col width="26" customWidth="1" min="18" max="18"/>
  </cols>
  <sheetData>
    <row r="1">
      <c r="A1" t="inlineStr">
        <is>
          <t>Quantity</t>
        </is>
      </c>
      <c r="B1" t="inlineStr">
        <is>
          <t>Manufacturer Part Number</t>
        </is>
      </c>
      <c r="C1" t="inlineStr">
        <is>
          <t>Manufacturer</t>
        </is>
      </c>
      <c r="D1" t="inlineStr">
        <is>
          <t>Customer Reference</t>
        </is>
      </c>
      <c r="E1" t="inlineStr">
        <is>
          <t>Value</t>
        </is>
      </c>
      <c r="F1" t="inlineStr">
        <is>
          <t>Footprint</t>
        </is>
      </c>
      <c r="G1" t="inlineStr">
        <is>
          <t>Description</t>
        </is>
      </c>
      <c r="H1" s="1" t="inlineStr">
        <is>
          <t>DigiKey P/N</t>
        </is>
      </c>
      <c r="I1" s="1" t="inlineStr">
        <is>
          <t>Found Mfr</t>
        </is>
      </c>
      <c r="J1" s="1" t="inlineStr">
        <is>
          <t>Stock</t>
        </is>
      </c>
      <c r="K1" s="1" t="inlineStr">
        <is>
          <t>Status</t>
        </is>
      </c>
      <c r="L1" s="1" t="inlineStr">
        <is>
          <t>Order Qty</t>
        </is>
      </c>
      <c r="M1" s="1" t="inlineStr">
        <is>
          <t>Price Break</t>
        </is>
      </c>
      <c r="N1" s="1" t="inlineStr">
        <is>
          <t>Unit Price</t>
        </is>
      </c>
      <c r="O1" s="1" t="inlineStr">
        <is>
          <t>Extended Price</t>
        </is>
      </c>
      <c r="P1" s="1" t="inlineStr">
        <is>
          <t>MOQ</t>
        </is>
      </c>
      <c r="Q1" s="1" t="inlineStr">
        <is>
          <t>Datasheet</t>
        </is>
      </c>
      <c r="R1" s="1" t="inlineStr">
        <is>
          <t>Notes</t>
        </is>
      </c>
    </row>
    <row r="2">
      <c r="A2" t="n">
        <v>3</v>
      </c>
      <c r="B2" t="inlineStr">
        <is>
          <t>1757255</t>
        </is>
      </c>
      <c r="C2" t="inlineStr">
        <is>
          <t>Phoenix Contact</t>
        </is>
      </c>
      <c r="D2" t="inlineStr">
        <is>
          <t>J1,J2,J3</t>
        </is>
      </c>
      <c r="E2" t="inlineStr">
        <is>
          <t>MSTBA 2,5/3-G-5,08</t>
        </is>
      </c>
      <c r="F2" t="inlineStr">
        <is>
          <t>Phoenix_MSTBA_3</t>
        </is>
      </c>
      <c r="G2" t="inlineStr">
        <is>
          <t>Term block header 3pos 5.08mm horiz</t>
        </is>
      </c>
      <c r="H2" t="inlineStr">
        <is>
          <t>277-1107-ND</t>
        </is>
      </c>
      <c r="I2" t="inlineStr">
        <is>
          <t>Phoenix Contact</t>
        </is>
      </c>
      <c r="J2" t="n">
        <v>11325</v>
      </c>
      <c r="K2" t="inlineStr">
        <is>
          <t>Active</t>
        </is>
      </c>
      <c r="L2" t="n">
        <v>3</v>
      </c>
      <c r="M2" t="n">
        <v>1</v>
      </c>
      <c r="N2" s="2" t="n">
        <v>0.9</v>
      </c>
      <c r="O2" s="2">
        <f>N2*L2</f>
        <v/>
      </c>
      <c r="Q2" t="inlineStr">
        <is>
          <t>https://www.phoenixcontact.com/us/products/1757255/pdf</t>
        </is>
      </c>
      <c r="R2" t="inlineStr"/>
    </row>
    <row r="3">
      <c r="A3" t="n">
        <v>1</v>
      </c>
      <c r="B3" t="inlineStr">
        <is>
          <t>7-6609940-4</t>
        </is>
      </c>
      <c r="C3" t="inlineStr">
        <is>
          <t>TE Connectivity</t>
        </is>
      </c>
      <c r="D3" t="inlineStr">
        <is>
          <t>PEM01</t>
        </is>
      </c>
      <c r="E3" t="inlineStr">
        <is>
          <t>IEC inlet+fuse+filter+sw</t>
        </is>
      </c>
      <c r="F3" t="inlineStr">
        <is>
          <t>Chassis</t>
        </is>
      </c>
      <c r="G3" t="inlineStr">
        <is>
          <t>Power entry module, 2A fused/EMI/switch</t>
        </is>
      </c>
      <c r="H3" t="inlineStr">
        <is>
          <t>7-6609940-4-ND</t>
        </is>
      </c>
      <c r="I3" t="inlineStr">
        <is>
          <t>TE Connectivity Corcom Filters</t>
        </is>
      </c>
      <c r="J3" t="n">
        <v>59</v>
      </c>
      <c r="K3" t="inlineStr">
        <is>
          <t>Active</t>
        </is>
      </c>
      <c r="L3" t="n">
        <v>1</v>
      </c>
      <c r="M3" t="n">
        <v>1</v>
      </c>
      <c r="N3" s="2" t="n">
        <v>39.18</v>
      </c>
      <c r="O3" s="2">
        <f>N3*L3</f>
        <v/>
      </c>
      <c r="Q3" t="inlineStr">
        <is>
          <t>https://www.te.com/commerce/DocumentDelivery/DDEController?Action=srchrtrv&amp;DocNm=P-Series&amp;DocType=Customer+Drawing&amp;DocLang=English</t>
        </is>
      </c>
      <c r="R3" t="inlineStr"/>
    </row>
    <row r="4">
      <c r="A4" t="n">
        <v>1</v>
      </c>
      <c r="B4" t="inlineStr">
        <is>
          <t>0218002.MXP</t>
        </is>
      </c>
      <c r="C4" t="inlineStr">
        <is>
          <t>Littelfuse</t>
        </is>
      </c>
      <c r="D4" t="inlineStr">
        <is>
          <t>PEM01 fuse</t>
        </is>
      </c>
      <c r="E4" t="inlineStr">
        <is>
          <t>2A 5x20 Slo-Blo</t>
        </is>
      </c>
      <c r="F4" t="inlineStr">
        <is>
          <t>Cartridge (in PEM)</t>
        </is>
      </c>
      <c r="G4" t="inlineStr">
        <is>
          <t>Fuse 2A 250VAC 5x20mm time-lag for PEM01</t>
        </is>
      </c>
      <c r="H4" t="inlineStr">
        <is>
          <t>F1746-ND</t>
        </is>
      </c>
      <c r="I4" t="inlineStr">
        <is>
          <t>Littelfuse Inc.</t>
        </is>
      </c>
      <c r="J4" t="n">
        <v>12176</v>
      </c>
      <c r="K4" t="inlineStr">
        <is>
          <t>Active</t>
        </is>
      </c>
      <c r="L4" t="n">
        <v>1</v>
      </c>
      <c r="M4" t="n">
        <v>1</v>
      </c>
      <c r="N4" s="2" t="n">
        <v>1.56</v>
      </c>
      <c r="O4" s="2">
        <f>N4*L4</f>
        <v/>
      </c>
      <c r="Q4" t="inlineStr">
        <is>
          <t>https://www.littelfuse.com/assetdocs/littelfuse_fuse_218_datasheet.pdf?assetguid=a96d72b7-5296-4815-88b4-98b2f6738874</t>
        </is>
      </c>
      <c r="R4" t="inlineStr"/>
    </row>
    <row r="5">
      <c r="A5" t="n">
        <v>1</v>
      </c>
      <c r="B5" t="inlineStr">
        <is>
          <t>CRCW08051K00FKEA</t>
        </is>
      </c>
      <c r="C5" t="inlineStr">
        <is>
          <t>Vishay Dale</t>
        </is>
      </c>
      <c r="D5" t="inlineStr">
        <is>
          <t>R1</t>
        </is>
      </c>
      <c r="E5" t="inlineStr">
        <is>
          <t>1k</t>
        </is>
      </c>
      <c r="F5" t="inlineStr">
        <is>
          <t>R_0805</t>
        </is>
      </c>
      <c r="G5" t="inlineStr">
        <is>
          <t>Res 1k 1% 1/8W 0805 (earth-GND bleed)</t>
        </is>
      </c>
      <c r="H5" t="inlineStr">
        <is>
          <t>541-1.00KCTR-ND</t>
        </is>
      </c>
      <c r="I5" t="inlineStr">
        <is>
          <t>Vishay Dale</t>
        </is>
      </c>
      <c r="J5" t="n">
        <v>953846</v>
      </c>
      <c r="K5" t="inlineStr">
        <is>
          <t>Active</t>
        </is>
      </c>
      <c r="L5" t="n">
        <v>1</v>
      </c>
      <c r="M5" t="n">
        <v>1</v>
      </c>
      <c r="N5" s="2" t="n">
        <v>0.1</v>
      </c>
      <c r="O5" s="2">
        <f>N5*L5</f>
        <v/>
      </c>
      <c r="Q5" t="inlineStr">
        <is>
          <t>https://www.vishay.com/docs/20035/dcrcwe3.pdf</t>
        </is>
      </c>
      <c r="R5" t="inlineStr"/>
    </row>
    <row r="6">
      <c r="A6" t="n">
        <v>1</v>
      </c>
      <c r="B6" t="inlineStr">
        <is>
          <t>VPT36-1390</t>
        </is>
      </c>
      <c r="C6" t="inlineStr">
        <is>
          <t>Triad Magnetics</t>
        </is>
      </c>
      <c r="D6" t="inlineStr">
        <is>
          <t>T1</t>
        </is>
      </c>
      <c r="E6" t="inlineStr">
        <is>
          <t>2x18V 50VA</t>
        </is>
      </c>
      <c r="F6" t="inlineStr">
        <is>
          <t>Chassis</t>
        </is>
      </c>
      <c r="G6" t="inlineStr">
        <is>
          <t>Xfmr dual-pri 2x115V sec 2x18V</t>
        </is>
      </c>
      <c r="H6" t="inlineStr">
        <is>
          <t>237-1334-ND</t>
        </is>
      </c>
      <c r="I6" t="inlineStr">
        <is>
          <t>Triad Magnetics</t>
        </is>
      </c>
      <c r="J6" t="n">
        <v>330</v>
      </c>
      <c r="K6" t="inlineStr">
        <is>
          <t>Active</t>
        </is>
      </c>
      <c r="L6" t="n">
        <v>1</v>
      </c>
      <c r="M6" t="n">
        <v>1</v>
      </c>
      <c r="N6" s="2" t="n">
        <v>37.01</v>
      </c>
      <c r="O6" s="2">
        <f>N6*L6</f>
        <v/>
      </c>
      <c r="Q6" t="inlineStr">
        <is>
          <t>http://catalog.triadmagnetics.com/Asset/VPT36-1390.pdf</t>
        </is>
      </c>
      <c r="R6" t="inlineStr"/>
    </row>
    <row r="7">
      <c r="A7" t="n">
        <v>1</v>
      </c>
      <c r="B7" t="inlineStr">
        <is>
          <t>VPT18-8800</t>
        </is>
      </c>
      <c r="C7" t="inlineStr">
        <is>
          <t>Triad Magnetics</t>
        </is>
      </c>
      <c r="D7" t="inlineStr">
        <is>
          <t>T2</t>
        </is>
      </c>
      <c r="E7" t="inlineStr">
        <is>
          <t>2x9V</t>
        </is>
      </c>
      <c r="F7" t="inlineStr">
        <is>
          <t>Chassis</t>
        </is>
      </c>
      <c r="G7" t="inlineStr">
        <is>
          <t>Xfmr dual-pri 2x115V sec 2x9V</t>
        </is>
      </c>
      <c r="H7" t="inlineStr">
        <is>
          <t>237-1344-ND</t>
        </is>
      </c>
      <c r="I7" t="inlineStr">
        <is>
          <t>Triad Magnetics</t>
        </is>
      </c>
      <c r="J7" t="n">
        <v>2</v>
      </c>
      <c r="K7" t="inlineStr">
        <is>
          <t>Active</t>
        </is>
      </c>
      <c r="L7" t="n">
        <v>1</v>
      </c>
      <c r="M7" t="n">
        <v>1</v>
      </c>
      <c r="N7" s="2" t="n">
        <v>61</v>
      </c>
      <c r="O7" s="2">
        <f>N7*L7</f>
        <v/>
      </c>
      <c r="Q7" t="inlineStr">
        <is>
          <t>http://catalog.triadmagnetics.com/Asset/VPT18-8800.pdf</t>
        </is>
      </c>
      <c r="R7" t="inlineStr"/>
    </row>
    <row r="8">
      <c r="A8" t="n">
        <v>1</v>
      </c>
      <c r="B8" t="inlineStr">
        <is>
          <t>SL2210005</t>
        </is>
      </c>
      <c r="C8" t="inlineStr">
        <is>
          <t>Ametherm</t>
        </is>
      </c>
      <c r="D8" t="inlineStr">
        <is>
          <t>TH1</t>
        </is>
      </c>
      <c r="E8" t="inlineStr">
        <is>
          <t>SL22 10005</t>
        </is>
      </c>
      <c r="F8" t="inlineStr">
        <is>
          <t>R_Axial_DIN0411</t>
        </is>
      </c>
      <c r="G8" t="inlineStr">
        <is>
          <t>Inrush NTC 10ohm 5A</t>
        </is>
      </c>
      <c r="H8" t="inlineStr">
        <is>
          <t>570-SL2210005-ND</t>
        </is>
      </c>
      <c r="I8" t="inlineStr">
        <is>
          <t>Vishay Ametherm</t>
        </is>
      </c>
      <c r="J8" t="n">
        <v>1203</v>
      </c>
      <c r="K8" t="inlineStr">
        <is>
          <t>Active</t>
        </is>
      </c>
      <c r="L8" t="n">
        <v>1</v>
      </c>
      <c r="M8" t="n">
        <v>1</v>
      </c>
      <c r="N8" s="2" t="n">
        <v>5.5</v>
      </c>
      <c r="O8" s="2">
        <f>N8*L8</f>
        <v/>
      </c>
      <c r="Q8" t="inlineStr">
        <is>
          <t>https://www.ametherm.com/datasheetspdf/SL2210005.pdf</t>
        </is>
      </c>
      <c r="R8" t="inlineStr"/>
    </row>
    <row r="9">
      <c r="N9" s="2" t="n"/>
      <c r="O9" s="2" t="n"/>
    </row>
    <row r="10">
      <c r="N10" s="3" t="inlineStr">
        <is>
          <t>TOTAL</t>
        </is>
      </c>
      <c r="O10" s="3">
        <f>SUM(O2:O8)</f>
        <v/>
      </c>
    </row>
    <row r="11">
      <c r="H11" s="4" t="inlineStr">
        <is>
          <t>Prices pulled 2026-06-30 14:34 (USD), 1 board(s)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2026-06-30T18:33:30Z</dcterms:created>
  <dcterms:modified xmlns:dcterms="http://purl.org/dc/terms/" xmlns:xsi="http://www.w3.org/2001/XMLSchema-instance" xsi:type="dcterms:W3CDTF">2026-06-30T18:34:23Z</dcterms:modified>
</cp:coreProperties>
</file>