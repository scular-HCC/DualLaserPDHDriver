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cols>
    <col width="18" customWidth="1" min="6" max="6"/>
    <col width="22" customWidth="1" min="7" max="7"/>
    <col width="12" customWidth="1" min="8" max="8"/>
    <col width="12" customWidth="1" min="9" max="9"/>
    <col width="10" customWidth="1" min="10" max="10"/>
    <col width="11" customWidth="1" min="11" max="11"/>
    <col width="12" customWidth="1" min="12" max="12"/>
    <col width="14" customWidth="1" min="13" max="13"/>
    <col width="8" customWidth="1" min="14" max="14"/>
    <col width="30" customWidth="1" min="15" max="15"/>
    <col width="26" customWidth="1" min="16" max="16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Description</t>
        </is>
      </c>
      <c r="F1" s="1" t="inlineStr">
        <is>
          <t>DigiKey P/N</t>
        </is>
      </c>
      <c r="G1" s="1" t="inlineStr">
        <is>
          <t>Found Mfr</t>
        </is>
      </c>
      <c r="H1" s="1" t="inlineStr">
        <is>
          <t>Stock</t>
        </is>
      </c>
      <c r="I1" s="1" t="inlineStr">
        <is>
          <t>Status</t>
        </is>
      </c>
      <c r="J1" s="1" t="inlineStr">
        <is>
          <t>Order Qty</t>
        </is>
      </c>
      <c r="K1" s="1" t="inlineStr">
        <is>
          <t>Price Break</t>
        </is>
      </c>
      <c r="L1" s="1" t="inlineStr">
        <is>
          <t>Unit Price</t>
        </is>
      </c>
      <c r="M1" s="1" t="inlineStr">
        <is>
          <t>Extended Price</t>
        </is>
      </c>
      <c r="N1" s="1" t="inlineStr">
        <is>
          <t>MOQ</t>
        </is>
      </c>
      <c r="O1" s="1" t="inlineStr">
        <is>
          <t>Datasheet</t>
        </is>
      </c>
      <c r="P1" s="1" t="inlineStr">
        <is>
          <t>Notes</t>
        </is>
      </c>
    </row>
    <row r="2">
      <c r="A2" t="n">
        <v>11</v>
      </c>
      <c r="B2" t="inlineStr">
        <is>
          <t>CL21B104KBCNNNC</t>
        </is>
      </c>
      <c r="C2" t="inlineStr">
        <is>
          <t>Samsung Electro-Mechanics</t>
        </is>
      </c>
      <c r="D2" t="inlineStr">
        <is>
          <t>C9, C10, C14, C17, C18, C27, C55, C58, C72, C73, C74</t>
        </is>
      </c>
      <c r="E2" t="inlineStr">
        <is>
          <t>100nF</t>
        </is>
      </c>
      <c r="F2" t="inlineStr">
        <is>
          <t>1276-1003-2-ND</t>
        </is>
      </c>
      <c r="G2" t="inlineStr">
        <is>
          <t>Samsung Electro-Mechanics</t>
        </is>
      </c>
      <c r="H2" t="n">
        <v>7710784</v>
      </c>
      <c r="I2" t="inlineStr">
        <is>
          <t>Active</t>
        </is>
      </c>
      <c r="J2" t="n">
        <v>11</v>
      </c>
      <c r="K2" t="n">
        <v>10</v>
      </c>
      <c r="L2" s="2" t="n">
        <v>0.038</v>
      </c>
      <c r="M2" s="2">
        <f>L2*J2</f>
        <v/>
      </c>
      <c r="O2" t="inlineStr">
        <is>
          <t>//mm.digikey.com/Volume0/opasdata/d220001/medias/docus/609/CL21B104KBCNNN_Spec.pdf</t>
        </is>
      </c>
    </row>
    <row r="3">
      <c r="A3" t="n">
        <v>12</v>
      </c>
      <c r="B3" t="inlineStr">
        <is>
          <t>CL21B475KAFNNNE</t>
        </is>
      </c>
      <c r="C3" t="inlineStr">
        <is>
          <t>Samsung Electro-Mechanics</t>
        </is>
      </c>
      <c r="D3" t="inlineStr">
        <is>
          <t>C11, C12, C13, C20, C21, C30, C31, C54, C56, C60, C67, C70</t>
        </is>
      </c>
      <c r="E3" t="inlineStr">
        <is>
          <t>4.7uF X7R</t>
        </is>
      </c>
      <c r="F3" t="inlineStr">
        <is>
          <t>1276-2969-2-ND</t>
        </is>
      </c>
      <c r="G3" t="inlineStr">
        <is>
          <t>Samsung Electro-Mechanics</t>
        </is>
      </c>
      <c r="H3" t="n">
        <v>414846</v>
      </c>
      <c r="I3" t="inlineStr">
        <is>
          <t>Active</t>
        </is>
      </c>
      <c r="J3" t="n">
        <v>12</v>
      </c>
      <c r="K3" t="n">
        <v>10</v>
      </c>
      <c r="L3" s="2" t="n">
        <v>0.248</v>
      </c>
      <c r="M3" s="2">
        <f>L3*J3</f>
        <v/>
      </c>
      <c r="O3" t="inlineStr">
        <is>
          <t>//mm.digikey.com/Volume0/opasdata/d220001/medias/docus/658/CL21B475KAFNNNE_Spec.pdf</t>
        </is>
      </c>
    </row>
    <row r="4">
      <c r="A4" t="n">
        <v>15</v>
      </c>
      <c r="B4" t="inlineStr">
        <is>
          <t>C0805C106K3PACTU</t>
        </is>
      </c>
      <c r="C4" t="inlineStr">
        <is>
          <t>KEMET</t>
        </is>
      </c>
      <c r="D4" t="inlineStr">
        <is>
          <t>C15, C22, C25, C26, C28, C29, C32, C33, C61, C62, C65, C66, C68, C69, C71</t>
        </is>
      </c>
      <c r="E4" t="inlineStr">
        <is>
          <t>10uF</t>
        </is>
      </c>
      <c r="F4" t="inlineStr">
        <is>
          <t>399-11939-2-ND</t>
        </is>
      </c>
      <c r="G4" t="inlineStr">
        <is>
          <t>KEMET</t>
        </is>
      </c>
      <c r="H4" t="n">
        <v>248463</v>
      </c>
      <c r="I4" t="inlineStr">
        <is>
          <t>Active</t>
        </is>
      </c>
      <c r="J4" t="n">
        <v>15</v>
      </c>
      <c r="K4" t="n">
        <v>10</v>
      </c>
      <c r="L4" s="2" t="n">
        <v>0.132</v>
      </c>
      <c r="M4" s="2">
        <f>L4*J4</f>
        <v/>
      </c>
      <c r="O4" t="inlineStr">
        <is>
          <t>https://yageogroup.com/content/datasheet/asset/file/KEM_C1006_X5R_SMD</t>
        </is>
      </c>
    </row>
    <row r="5">
      <c r="A5" t="n">
        <v>1</v>
      </c>
      <c r="B5" t="inlineStr">
        <is>
          <t>T520B106M016ATE100</t>
        </is>
      </c>
      <c r="C5" t="inlineStr">
        <is>
          <t>KEMET</t>
        </is>
      </c>
      <c r="D5" t="inlineStr">
        <is>
          <t>C16</t>
        </is>
      </c>
      <c r="E5" t="inlineStr">
        <is>
          <t>10uF 16V Polymer</t>
        </is>
      </c>
      <c r="F5" t="inlineStr">
        <is>
          <t>399-5483-2-ND</t>
        </is>
      </c>
      <c r="G5" t="inlineStr">
        <is>
          <t>KEMET</t>
        </is>
      </c>
      <c r="H5" t="n">
        <v>33589</v>
      </c>
      <c r="I5" t="inlineStr">
        <is>
          <t>Active</t>
        </is>
      </c>
      <c r="J5" t="n">
        <v>1</v>
      </c>
      <c r="K5" t="n">
        <v>1</v>
      </c>
      <c r="L5" s="2" t="n">
        <v>1.64</v>
      </c>
      <c r="M5" s="2">
        <f>L5*J5</f>
        <v/>
      </c>
      <c r="O5" t="inlineStr">
        <is>
          <t>https://yageogroup.com/content/datasheet/asset/file/KEM_T2076_T52X-530</t>
        </is>
      </c>
    </row>
    <row r="6">
      <c r="A6" t="n">
        <v>1</v>
      </c>
      <c r="B6" t="inlineStr">
        <is>
          <t>TMK325ABJ476MM-P</t>
        </is>
      </c>
      <c r="C6" t="inlineStr">
        <is>
          <t>Taiyo Yuden</t>
        </is>
      </c>
      <c r="D6" t="inlineStr">
        <is>
          <t>C19</t>
        </is>
      </c>
      <c r="E6" t="inlineStr">
        <is>
          <t>47uF RC</t>
        </is>
      </c>
      <c r="F6" t="inlineStr">
        <is>
          <t>587-5479-2-ND</t>
        </is>
      </c>
      <c r="G6" t="inlineStr">
        <is>
          <t>Taiyo Yuden</t>
        </is>
      </c>
      <c r="H6" t="n">
        <v>51424</v>
      </c>
      <c r="I6" t="inlineStr">
        <is>
          <t>Active</t>
        </is>
      </c>
      <c r="J6" t="n">
        <v>1</v>
      </c>
      <c r="K6" t="n">
        <v>1</v>
      </c>
      <c r="L6" s="2" t="n">
        <v>1.17</v>
      </c>
      <c r="M6" s="2">
        <f>L6*J6</f>
        <v/>
      </c>
      <c r="O6" t="inlineStr">
        <is>
          <t>//mm.digikey.com/Volume0/opasdata/d220001/medias/docus/272/mlcc02_e-1307760.pdf</t>
        </is>
      </c>
    </row>
    <row r="7">
      <c r="A7" t="n">
        <v>3</v>
      </c>
      <c r="B7" t="inlineStr">
        <is>
          <t>C0805C105K5RACTU</t>
        </is>
      </c>
      <c r="C7" t="inlineStr">
        <is>
          <t>KEMET</t>
        </is>
      </c>
      <c r="D7" t="inlineStr">
        <is>
          <t>C23, C24, C75</t>
        </is>
      </c>
      <c r="E7" t="inlineStr">
        <is>
          <t>1uF</t>
        </is>
      </c>
      <c r="F7" t="inlineStr">
        <is>
          <t>399-C0805C105K5RACTUTR-ND</t>
        </is>
      </c>
      <c r="G7" t="inlineStr">
        <is>
          <t>KEMET</t>
        </is>
      </c>
      <c r="H7" t="n">
        <v>154760</v>
      </c>
      <c r="I7" t="inlineStr">
        <is>
          <t>Active</t>
        </is>
      </c>
      <c r="J7" t="n">
        <v>3</v>
      </c>
      <c r="K7" t="n">
        <v>1</v>
      </c>
      <c r="L7" s="2" t="n">
        <v>0.85</v>
      </c>
      <c r="M7" s="2">
        <f>L7*J7</f>
        <v/>
      </c>
      <c r="O7" t="inlineStr">
        <is>
          <t>https://yageogroup.com/content/datasheet/asset/file/KEM_C1002_X7R_SMD</t>
        </is>
      </c>
    </row>
    <row r="8">
      <c r="A8" t="n">
        <v>3</v>
      </c>
      <c r="B8" t="inlineStr">
        <is>
          <t>CL21B334KBFNNNE</t>
        </is>
      </c>
      <c r="C8" t="inlineStr">
        <is>
          <t>Samsung Electro-Mechanics</t>
        </is>
      </c>
      <c r="D8" t="inlineStr">
        <is>
          <t>C57, C63, C64</t>
        </is>
      </c>
      <c r="E8" t="inlineStr">
        <is>
          <t>0.33uF</t>
        </is>
      </c>
      <c r="F8" t="inlineStr">
        <is>
          <t>1276-1123-2-ND</t>
        </is>
      </c>
      <c r="G8" t="inlineStr">
        <is>
          <t>Samsung Electro-Mechanics</t>
        </is>
      </c>
      <c r="H8" t="n">
        <v>122544</v>
      </c>
      <c r="I8" t="inlineStr">
        <is>
          <t>Active</t>
        </is>
      </c>
      <c r="J8" t="n">
        <v>3</v>
      </c>
      <c r="K8" t="n">
        <v>1</v>
      </c>
      <c r="L8" s="2" t="n">
        <v>0.1</v>
      </c>
      <c r="M8" s="2">
        <f>L8*J8</f>
        <v/>
      </c>
      <c r="O8" t="inlineStr">
        <is>
          <t>//mm.digikey.com/Volume0/opasdata/d220001/medias/docus/1068/CL21B334KBFNNNE_Spec.pdf</t>
        </is>
      </c>
    </row>
    <row r="9">
      <c r="A9" t="n">
        <v>1</v>
      </c>
      <c r="B9" t="inlineStr">
        <is>
          <t>1210YD107MAT2A</t>
        </is>
      </c>
      <c r="C9" t="inlineStr">
        <is>
          <t>KYOCERA AVX</t>
        </is>
      </c>
      <c r="D9" t="inlineStr">
        <is>
          <t>C59</t>
        </is>
      </c>
      <c r="E9" t="inlineStr">
        <is>
          <t>100uF</t>
        </is>
      </c>
      <c r="F9" t="inlineStr">
        <is>
          <t>478-11408-2-ND</t>
        </is>
      </c>
      <c r="G9" t="inlineStr">
        <is>
          <t>KYOCERA AVX</t>
        </is>
      </c>
      <c r="H9" t="n">
        <v>4962</v>
      </c>
      <c r="I9" t="inlineStr">
        <is>
          <t>Active</t>
        </is>
      </c>
      <c r="J9" t="n">
        <v>1</v>
      </c>
      <c r="K9" t="n">
        <v>1</v>
      </c>
      <c r="L9" s="2" t="n">
        <v>2.45</v>
      </c>
      <c r="M9" s="2">
        <f>L9*J9</f>
        <v/>
      </c>
      <c r="O9" t="inlineStr">
        <is>
          <t>https://datasheets.kyocera-avx.com/cx5r.pdf</t>
        </is>
      </c>
    </row>
    <row r="10">
      <c r="A10" t="n">
        <v>7</v>
      </c>
      <c r="B10" t="inlineStr">
        <is>
          <t>1N4007RLG</t>
        </is>
      </c>
      <c r="C10" t="inlineStr">
        <is>
          <t>onsemi</t>
        </is>
      </c>
      <c r="D10" t="inlineStr">
        <is>
          <t>D4, D5, D6, D12, D13, D14, D15</t>
        </is>
      </c>
      <c r="E10" t="inlineStr">
        <is>
          <t>1N4007</t>
        </is>
      </c>
      <c r="F10" t="inlineStr">
        <is>
          <t>1N4007RLGOSTR-ND</t>
        </is>
      </c>
      <c r="G10" t="inlineStr">
        <is>
          <t>onsemi</t>
        </is>
      </c>
      <c r="H10" t="n">
        <v>728840</v>
      </c>
      <c r="I10" t="inlineStr">
        <is>
          <t>Active</t>
        </is>
      </c>
      <c r="J10" t="n">
        <v>7</v>
      </c>
      <c r="K10" t="n">
        <v>1</v>
      </c>
      <c r="L10" s="2" t="n">
        <v>0.23</v>
      </c>
      <c r="M10" s="2">
        <f>L10*J10</f>
        <v/>
      </c>
      <c r="O10" t="inlineStr">
        <is>
          <t>https://www.onsemi.com/pub/Collateral/1N4001-D.PDF</t>
        </is>
      </c>
    </row>
    <row r="11">
      <c r="A11" t="n">
        <v>1</v>
      </c>
      <c r="B11" t="inlineStr">
        <is>
          <t>374144-E</t>
        </is>
      </c>
      <c r="C11" t="inlineStr">
        <is>
          <t>TE Connectivity</t>
        </is>
      </c>
      <c r="D11" t="inlineStr">
        <is>
          <t>J6</t>
        </is>
      </c>
      <c r="E11" t="inlineStr">
        <is>
          <t>DIN41612_M_3x8+8_Power_Male</t>
        </is>
      </c>
      <c r="F11" t="inlineStr">
        <is>
          <t>2684-374144-E-ND</t>
        </is>
      </c>
      <c r="G11" t="inlineStr">
        <is>
          <t>TE Connectivity Erni</t>
        </is>
      </c>
      <c r="H11" t="n">
        <v>0</v>
      </c>
      <c r="I11" t="inlineStr">
        <is>
          <t>Active</t>
        </is>
      </c>
      <c r="J11" t="n">
        <v>1</v>
      </c>
      <c r="K11" t="n">
        <v>1</v>
      </c>
      <c r="L11" s="2" t="n">
        <v>10.31</v>
      </c>
      <c r="M11" s="2">
        <f>L11*J11</f>
        <v/>
      </c>
      <c r="O11" t="inlineStr">
        <is>
          <t>https://www.erni.com/fileadmin/import/products/assets/DC0006731.PDF</t>
        </is>
      </c>
      <c r="P11" t="inlineStr">
        <is>
          <t>LOW STOCK (0 &lt; 1)</t>
        </is>
      </c>
    </row>
    <row r="12">
      <c r="A12" t="n">
        <v>1</v>
      </c>
      <c r="B12" t="inlineStr">
        <is>
          <t>ERA-6AEB6042V</t>
        </is>
      </c>
      <c r="C12" t="inlineStr">
        <is>
          <t>Panasonic Industry</t>
        </is>
      </c>
      <c r="D12" t="inlineStr">
        <is>
          <t>R10</t>
        </is>
      </c>
      <c r="E12" t="inlineStr">
        <is>
          <t>60.4k 0.1%</t>
        </is>
      </c>
      <c r="F12" t="inlineStr">
        <is>
          <t>P60.4KDATR-ND</t>
        </is>
      </c>
      <c r="G12" t="inlineStr">
        <is>
          <t>Panasonic Industry</t>
        </is>
      </c>
      <c r="H12" t="n">
        <v>10828</v>
      </c>
      <c r="I12" t="inlineStr">
        <is>
          <t>Active</t>
        </is>
      </c>
      <c r="J12" t="n">
        <v>1</v>
      </c>
      <c r="K12" t="n">
        <v>1</v>
      </c>
      <c r="L12" s="2" t="n">
        <v>0.1</v>
      </c>
      <c r="M12" s="2">
        <f>L12*J12</f>
        <v/>
      </c>
      <c r="O12" t="inlineStr">
        <is>
          <t>https://industrial.panasonic.com/cdbs/www-data/pdf/RDM0000/AOA0000C307.pdf</t>
        </is>
      </c>
    </row>
    <row r="13">
      <c r="A13" t="n">
        <v>1</v>
      </c>
      <c r="B13" t="inlineStr">
        <is>
          <t>CRCW08051K00FKEA</t>
        </is>
      </c>
      <c r="C13" t="inlineStr">
        <is>
          <t>Vishay Dale</t>
        </is>
      </c>
      <c r="D13" t="inlineStr">
        <is>
          <t>R17</t>
        </is>
      </c>
      <c r="E13" t="inlineStr">
        <is>
          <t>1k</t>
        </is>
      </c>
      <c r="F13" t="inlineStr">
        <is>
          <t>541-1.00KCTR-ND</t>
        </is>
      </c>
      <c r="G13" t="inlineStr">
        <is>
          <t>Vishay Dale</t>
        </is>
      </c>
      <c r="H13" t="n">
        <v>879764</v>
      </c>
      <c r="I13" t="inlineStr">
        <is>
          <t>Active</t>
        </is>
      </c>
      <c r="J13" t="n">
        <v>1</v>
      </c>
      <c r="K13" t="n">
        <v>1</v>
      </c>
      <c r="L13" s="2" t="n">
        <v>0.1</v>
      </c>
      <c r="M13" s="2">
        <f>L13*J13</f>
        <v/>
      </c>
      <c r="O13" t="inlineStr">
        <is>
          <t>https://www.vishay.com/docs/20035/dcrcwe3.pdf</t>
        </is>
      </c>
    </row>
    <row r="14">
      <c r="A14" t="n">
        <v>1</v>
      </c>
      <c r="B14" t="inlineStr">
        <is>
          <t>RC1206FR-074R7L</t>
        </is>
      </c>
      <c r="C14" t="inlineStr">
        <is>
          <t>YAGEO</t>
        </is>
      </c>
      <c r="D14" t="inlineStr">
        <is>
          <t>R12</t>
        </is>
      </c>
      <c r="E14" t="inlineStr">
        <is>
          <t>4.7R</t>
        </is>
      </c>
      <c r="F14" t="inlineStr">
        <is>
          <t>311-4.70FRTR-ND</t>
        </is>
      </c>
      <c r="G14" t="inlineStr">
        <is>
          <t>YAGEO</t>
        </is>
      </c>
      <c r="H14" t="n">
        <v>78824</v>
      </c>
      <c r="I14" t="inlineStr">
        <is>
          <t>Active</t>
        </is>
      </c>
      <c r="J14" t="n">
        <v>1</v>
      </c>
      <c r="K14" t="n">
        <v>1</v>
      </c>
      <c r="L14" s="2" t="n">
        <v>0.15</v>
      </c>
      <c r="M14" s="2">
        <f>L14*J14</f>
        <v/>
      </c>
      <c r="O14" t="inlineStr">
        <is>
          <t>https://yageogroup.com/content/datasheet/asset/file/PYU-RC_GROUP_51_ROHS_L</t>
        </is>
      </c>
    </row>
    <row r="15">
      <c r="A15" t="n">
        <v>1</v>
      </c>
      <c r="B15" t="inlineStr">
        <is>
          <t>ERA-6AEB3322V</t>
        </is>
      </c>
      <c r="C15" t="inlineStr">
        <is>
          <t>Panasonic Industry</t>
        </is>
      </c>
      <c r="D15" t="inlineStr">
        <is>
          <t>R13</t>
        </is>
      </c>
      <c r="E15" t="inlineStr">
        <is>
          <t>33.2k 0.1%</t>
        </is>
      </c>
      <c r="F15" t="inlineStr">
        <is>
          <t>P33.2KDATR-ND</t>
        </is>
      </c>
      <c r="G15" t="inlineStr">
        <is>
          <t>Panasonic Industry</t>
        </is>
      </c>
      <c r="H15" t="n">
        <v>7910</v>
      </c>
      <c r="I15" t="inlineStr">
        <is>
          <t>Active</t>
        </is>
      </c>
      <c r="J15" t="n">
        <v>1</v>
      </c>
      <c r="K15" t="n">
        <v>1</v>
      </c>
      <c r="L15" s="2" t="n">
        <v>0.1</v>
      </c>
      <c r="M15" s="2">
        <f>L15*J15</f>
        <v/>
      </c>
      <c r="O15" t="inlineStr">
        <is>
          <t>https://industrial.panasonic.com/cdbs/www-data/pdf/RDM0000/AOA0000C307.pdf</t>
        </is>
      </c>
    </row>
    <row r="16">
      <c r="A16" t="n">
        <v>1</v>
      </c>
      <c r="B16" t="inlineStr">
        <is>
          <t>ERA-6AEB1272V</t>
        </is>
      </c>
      <c r="C16" t="inlineStr">
        <is>
          <t>Panasonic Industry</t>
        </is>
      </c>
      <c r="D16" t="inlineStr">
        <is>
          <t>R14</t>
        </is>
      </c>
      <c r="E16" t="inlineStr">
        <is>
          <t>12.7k 0.1%</t>
        </is>
      </c>
      <c r="F16" t="inlineStr">
        <is>
          <t>P12.7KDATR-ND</t>
        </is>
      </c>
      <c r="G16" t="inlineStr">
        <is>
          <t>Panasonic Industry</t>
        </is>
      </c>
      <c r="H16" t="n">
        <v>5066</v>
      </c>
      <c r="I16" t="inlineStr">
        <is>
          <t>Active</t>
        </is>
      </c>
      <c r="J16" t="n">
        <v>1</v>
      </c>
      <c r="K16" t="n">
        <v>1</v>
      </c>
      <c r="L16" s="2" t="n">
        <v>0.1</v>
      </c>
      <c r="M16" s="2">
        <f>L16*J16</f>
        <v/>
      </c>
      <c r="O16" t="inlineStr">
        <is>
          <t>https://industrial.panasonic.com/cdbs/www-data/pdf/RDM0000/AOA0000C307.pdf</t>
        </is>
      </c>
    </row>
    <row r="17">
      <c r="A17" t="n">
        <v>2</v>
      </c>
      <c r="B17" t="inlineStr">
        <is>
          <t>ERA-6AEB1433V</t>
        </is>
      </c>
      <c r="C17" t="inlineStr">
        <is>
          <t>Panasonic Industry</t>
        </is>
      </c>
      <c r="D17" t="inlineStr">
        <is>
          <t>R18, R19</t>
        </is>
      </c>
      <c r="E17" t="inlineStr">
        <is>
          <t>143k 0.1%</t>
        </is>
      </c>
      <c r="F17" t="inlineStr">
        <is>
          <t>P143KDATR-ND</t>
        </is>
      </c>
      <c r="G17" t="inlineStr">
        <is>
          <t>Panasonic Industry</t>
        </is>
      </c>
      <c r="H17" t="n">
        <v>0</v>
      </c>
      <c r="I17" t="inlineStr">
        <is>
          <t>Active</t>
        </is>
      </c>
      <c r="J17" t="n">
        <v>2</v>
      </c>
      <c r="K17" t="n">
        <v>1</v>
      </c>
      <c r="L17" s="2" t="n">
        <v>0.1</v>
      </c>
      <c r="M17" s="2">
        <f>L17*J17</f>
        <v/>
      </c>
      <c r="O17" t="inlineStr">
        <is>
          <t>https://industrial.panasonic.com/cdbs/www-data/pdf/RDM0000/AOA0000C307.pdf</t>
        </is>
      </c>
      <c r="P17" t="inlineStr">
        <is>
          <t>LOW STOCK (0 &lt; 2)</t>
        </is>
      </c>
    </row>
    <row r="18">
      <c r="A18" t="n">
        <v>1</v>
      </c>
      <c r="B18" t="inlineStr">
        <is>
          <t>RC1206FR-071RL</t>
        </is>
      </c>
      <c r="C18" t="inlineStr">
        <is>
          <t>YAGEO</t>
        </is>
      </c>
      <c r="D18" t="inlineStr">
        <is>
          <t>R40</t>
        </is>
      </c>
      <c r="E18" t="inlineStr">
        <is>
          <t>1R RC</t>
        </is>
      </c>
      <c r="F18" t="inlineStr">
        <is>
          <t>311-1.00FRTR-ND</t>
        </is>
      </c>
      <c r="G18" t="inlineStr">
        <is>
          <t>YAGEO</t>
        </is>
      </c>
      <c r="H18" t="n">
        <v>81011</v>
      </c>
      <c r="I18" t="inlineStr">
        <is>
          <t>Active</t>
        </is>
      </c>
      <c r="J18" t="n">
        <v>1</v>
      </c>
      <c r="K18" t="n">
        <v>1</v>
      </c>
      <c r="L18" s="2" t="n">
        <v>0.15</v>
      </c>
      <c r="M18" s="2">
        <f>L18*J18</f>
        <v/>
      </c>
      <c r="O18" t="inlineStr">
        <is>
          <t>https://yageogroup.com/content/datasheet/asset/file/PYU-RC_GROUP_51_ROHS_L</t>
        </is>
      </c>
    </row>
    <row r="19">
      <c r="A19" t="n">
        <v>2</v>
      </c>
      <c r="B19" t="inlineStr">
        <is>
          <t>ERA-6AEB4992V</t>
        </is>
      </c>
      <c r="C19" t="inlineStr">
        <is>
          <t>Panasonic Industry</t>
        </is>
      </c>
      <c r="D19" t="inlineStr">
        <is>
          <t>R45, R46</t>
        </is>
      </c>
      <c r="E19" t="inlineStr">
        <is>
          <t>49.9k 0.1%</t>
        </is>
      </c>
      <c r="F19" t="inlineStr">
        <is>
          <t>P49.9KDATR-ND</t>
        </is>
      </c>
      <c r="G19" t="inlineStr">
        <is>
          <t>Panasonic Industry</t>
        </is>
      </c>
      <c r="H19" t="n">
        <v>111083</v>
      </c>
      <c r="I19" t="inlineStr">
        <is>
          <t>Active</t>
        </is>
      </c>
      <c r="J19" t="n">
        <v>2</v>
      </c>
      <c r="K19" t="n">
        <v>1</v>
      </c>
      <c r="L19" s="2" t="n">
        <v>0.1</v>
      </c>
      <c r="M19" s="2">
        <f>L19*J19</f>
        <v/>
      </c>
      <c r="O19" t="inlineStr">
        <is>
          <t>https://industrial.panasonic.com/cdbs/www-data/pdf/RDM0000/AOA0000C307.pdf</t>
        </is>
      </c>
    </row>
    <row r="20">
      <c r="A20" t="n">
        <v>1</v>
      </c>
      <c r="B20" t="inlineStr">
        <is>
          <t>RC0805FR-0716KL</t>
        </is>
      </c>
      <c r="C20" t="inlineStr">
        <is>
          <t>YAGEO</t>
        </is>
      </c>
      <c r="D20" t="inlineStr">
        <is>
          <t>R47</t>
        </is>
      </c>
      <c r="E20" t="inlineStr">
        <is>
          <t>16k</t>
        </is>
      </c>
      <c r="F20" t="inlineStr">
        <is>
          <t>311-16.0KCRTR-ND</t>
        </is>
      </c>
      <c r="G20" t="inlineStr">
        <is>
          <t>YAGEO</t>
        </is>
      </c>
      <c r="H20" t="n">
        <v>16156</v>
      </c>
      <c r="I20" t="inlineStr">
        <is>
          <t>Active</t>
        </is>
      </c>
      <c r="J20" t="n">
        <v>1</v>
      </c>
      <c r="K20" t="n">
        <v>1</v>
      </c>
      <c r="L20" s="2" t="n">
        <v>0.1</v>
      </c>
      <c r="M20" s="2">
        <f>L20*J20</f>
        <v/>
      </c>
      <c r="O20" t="inlineStr">
        <is>
          <t>https://yageogroup.com/content/datasheet/asset/file/PYU-RC_GROUP_51_ROHS_L</t>
        </is>
      </c>
    </row>
    <row r="21">
      <c r="A21" t="n">
        <v>3</v>
      </c>
      <c r="B21" t="inlineStr">
        <is>
          <t>MC7808CTG</t>
        </is>
      </c>
      <c r="C21" t="inlineStr">
        <is>
          <t>onsemi</t>
        </is>
      </c>
      <c r="D21" t="inlineStr">
        <is>
          <t>U1, U14, U17</t>
        </is>
      </c>
      <c r="E21" t="inlineStr">
        <is>
          <t>MC7808CTG</t>
        </is>
      </c>
      <c r="F21" t="inlineStr">
        <is>
          <t>MC7808CTGOS-ND</t>
        </is>
      </c>
      <c r="G21" t="inlineStr">
        <is>
          <t>onsemi</t>
        </is>
      </c>
      <c r="H21" t="n">
        <v>15022</v>
      </c>
      <c r="I21" t="inlineStr">
        <is>
          <t>Active</t>
        </is>
      </c>
      <c r="J21" t="n">
        <v>3</v>
      </c>
      <c r="K21" t="n">
        <v>1</v>
      </c>
      <c r="L21" s="2" t="n">
        <v>0.54</v>
      </c>
      <c r="M21" s="2">
        <f>L21*J21</f>
        <v/>
      </c>
      <c r="O21" t="inlineStr">
        <is>
          <t>https://www.onsemi.com/pdf/datasheet/mc7800-d.pdf</t>
        </is>
      </c>
    </row>
    <row r="22">
      <c r="A22" t="n">
        <v>2</v>
      </c>
      <c r="B22" t="inlineStr">
        <is>
          <t>LT3042EMSE#PBF</t>
        </is>
      </c>
      <c r="C22" t="inlineStr">
        <is>
          <t>Analog Devices Inc.</t>
        </is>
      </c>
      <c r="D22" t="inlineStr">
        <is>
          <t>U2, U10</t>
        </is>
      </c>
      <c r="E22" t="inlineStr">
        <is>
          <t>LT3042EMSE +5.5V</t>
        </is>
      </c>
      <c r="F22" t="inlineStr">
        <is>
          <t>505-LT3042EMSE#PBF-ND</t>
        </is>
      </c>
      <c r="G22" t="inlineStr">
        <is>
          <t>Analog Devices Inc.</t>
        </is>
      </c>
      <c r="H22" t="n">
        <v>1545</v>
      </c>
      <c r="I22" t="inlineStr">
        <is>
          <t>Active</t>
        </is>
      </c>
      <c r="J22" t="n">
        <v>2</v>
      </c>
      <c r="K22" t="n">
        <v>1</v>
      </c>
      <c r="L22" s="2" t="n">
        <v>7.55</v>
      </c>
      <c r="M22" s="2">
        <f>L22*J22</f>
        <v/>
      </c>
      <c r="O22" t="inlineStr">
        <is>
          <t>https://www.analog.com/media/en/technical-documentation/data-sheets/3042fb.pdf</t>
        </is>
      </c>
    </row>
    <row r="23">
      <c r="A23" t="n">
        <v>1</v>
      </c>
      <c r="B23" t="inlineStr">
        <is>
          <t>LTC6655BHMS8-5#PBF</t>
        </is>
      </c>
      <c r="C23" t="inlineStr">
        <is>
          <t>Analog Devices Inc.</t>
        </is>
      </c>
      <c r="D23" t="inlineStr">
        <is>
          <t>U3</t>
        </is>
      </c>
      <c r="E23" t="inlineStr">
        <is>
          <t>LTC6655BHMS8-5#PBF</t>
        </is>
      </c>
      <c r="F23" t="inlineStr">
        <is>
          <t>505-LTC6655BHMS8-5#PBF-ND</t>
        </is>
      </c>
      <c r="G23" t="inlineStr">
        <is>
          <t>Analog Devices Inc.</t>
        </is>
      </c>
      <c r="H23" t="n">
        <v>1249</v>
      </c>
      <c r="I23" t="inlineStr">
        <is>
          <t>Active</t>
        </is>
      </c>
      <c r="J23" t="n">
        <v>1</v>
      </c>
      <c r="K23" t="n">
        <v>1</v>
      </c>
      <c r="L23" s="2" t="n">
        <v>17.45</v>
      </c>
      <c r="M23" s="2">
        <f>L23*J23</f>
        <v/>
      </c>
      <c r="O23" t="inlineStr">
        <is>
          <t>https://www.analog.com/media/en/technical-documentation/data-sheets/LTC6655-6655LN.pdf</t>
        </is>
      </c>
    </row>
    <row r="24">
      <c r="A24" t="n">
        <v>2</v>
      </c>
      <c r="B24" t="inlineStr">
        <is>
          <t>MC7812CTG</t>
        </is>
      </c>
      <c r="C24" t="inlineStr">
        <is>
          <t>onsemi</t>
        </is>
      </c>
      <c r="D24" t="inlineStr">
        <is>
          <t>U4, U13</t>
        </is>
      </c>
      <c r="E24" t="inlineStr">
        <is>
          <t>MC7812CTG</t>
        </is>
      </c>
      <c r="F24" t="inlineStr">
        <is>
          <t>MC7812CTGOS-ND</t>
        </is>
      </c>
      <c r="G24" t="inlineStr">
        <is>
          <t>onsemi</t>
        </is>
      </c>
      <c r="H24" t="n">
        <v>18996</v>
      </c>
      <c r="I24" t="inlineStr">
        <is>
          <t>Active</t>
        </is>
      </c>
      <c r="J24" t="n">
        <v>2</v>
      </c>
      <c r="K24" t="n">
        <v>1</v>
      </c>
      <c r="L24" s="2" t="n">
        <v>0.54</v>
      </c>
      <c r="M24" s="2">
        <f>L24*J24</f>
        <v/>
      </c>
      <c r="O24" t="inlineStr">
        <is>
          <t>https://www.onsemi.com/pdf/datasheet/mc7800-d.pdf</t>
        </is>
      </c>
    </row>
    <row r="25">
      <c r="A25" t="n">
        <v>1</v>
      </c>
      <c r="B25" t="inlineStr">
        <is>
          <t>MC7805CTG</t>
        </is>
      </c>
      <c r="C25" t="inlineStr">
        <is>
          <t>onsemi</t>
        </is>
      </c>
      <c r="D25" t="inlineStr">
        <is>
          <t>U5</t>
        </is>
      </c>
      <c r="E25" t="inlineStr">
        <is>
          <t>MC7805CTG</t>
        </is>
      </c>
      <c r="F25" t="inlineStr">
        <is>
          <t>MC7805CTGOS-ND</t>
        </is>
      </c>
      <c r="G25" t="inlineStr">
        <is>
          <t>onsemi</t>
        </is>
      </c>
      <c r="H25" t="n">
        <v>53112</v>
      </c>
      <c r="I25" t="inlineStr">
        <is>
          <t>Active</t>
        </is>
      </c>
      <c r="J25" t="n">
        <v>1</v>
      </c>
      <c r="K25" t="n">
        <v>1</v>
      </c>
      <c r="L25" s="2" t="n">
        <v>0.54</v>
      </c>
      <c r="M25" s="2">
        <f>L25*J25</f>
        <v/>
      </c>
      <c r="O25" t="inlineStr">
        <is>
          <t>https://www.onsemi.com/pdf/datasheet/mc7800-d.pdf</t>
        </is>
      </c>
    </row>
    <row r="26">
      <c r="A26" t="n">
        <v>4</v>
      </c>
      <c r="B26" t="inlineStr">
        <is>
          <t>LT3045EMSE#PBF</t>
        </is>
      </c>
      <c r="C26" t="inlineStr">
        <is>
          <t>Analog Devices Inc.</t>
        </is>
      </c>
      <c r="D26" t="inlineStr">
        <is>
          <t>U6, U15, U16, U19</t>
        </is>
      </c>
      <c r="E26" t="inlineStr">
        <is>
          <t>LT3045EMSE 5V</t>
        </is>
      </c>
      <c r="F26" t="inlineStr">
        <is>
          <t>505-LT3045EMSE#PBF-ND</t>
        </is>
      </c>
      <c r="G26" t="inlineStr">
        <is>
          <t>Analog Devices Inc.</t>
        </is>
      </c>
      <c r="H26" t="n">
        <v>10047</v>
      </c>
      <c r="I26" t="inlineStr">
        <is>
          <t>Active</t>
        </is>
      </c>
      <c r="J26" t="n">
        <v>4</v>
      </c>
      <c r="K26" t="n">
        <v>1</v>
      </c>
      <c r="L26" s="2" t="n">
        <v>9.17</v>
      </c>
      <c r="M26" s="2">
        <f>L26*J26</f>
        <v/>
      </c>
      <c r="O26" t="inlineStr">
        <is>
          <t>https://www.analog.com/media/en/technical-documentation/data-sheets/LT3045.pdf</t>
        </is>
      </c>
    </row>
    <row r="27">
      <c r="A27" t="n">
        <v>1</v>
      </c>
      <c r="B27" t="inlineStr">
        <is>
          <t>LP5907MFX-1.8/NOPB</t>
        </is>
      </c>
      <c r="C27" t="inlineStr">
        <is>
          <t>Texas Instruments</t>
        </is>
      </c>
      <c r="D27" t="inlineStr">
        <is>
          <t>U7</t>
        </is>
      </c>
      <c r="E27" t="inlineStr">
        <is>
          <t>LP5907MFX-1.8</t>
        </is>
      </c>
      <c r="F27" t="inlineStr">
        <is>
          <t>296-41463-2-ND</t>
        </is>
      </c>
      <c r="G27" t="inlineStr">
        <is>
          <t>Texas Instruments</t>
        </is>
      </c>
      <c r="H27" t="n">
        <v>16346</v>
      </c>
      <c r="I27" t="inlineStr">
        <is>
          <t>Active</t>
        </is>
      </c>
      <c r="J27" t="n">
        <v>1</v>
      </c>
      <c r="K27" t="n">
        <v>1</v>
      </c>
      <c r="L27" s="2" t="n">
        <v>0.59</v>
      </c>
      <c r="M27" s="2">
        <f>L27*J27</f>
        <v/>
      </c>
      <c r="O27" t="inlineStr">
        <is>
          <t>https://www.ti.com/lit/ds/symlink/lp5907.pdf?ts=1782050205678</t>
        </is>
      </c>
    </row>
    <row r="28">
      <c r="A28" t="n">
        <v>1</v>
      </c>
      <c r="B28" t="inlineStr">
        <is>
          <t>TPS7A3901DSCR</t>
        </is>
      </c>
      <c r="C28" t="inlineStr">
        <is>
          <t>Texas Instruments</t>
        </is>
      </c>
      <c r="D28" t="inlineStr">
        <is>
          <t>U8</t>
        </is>
      </c>
      <c r="E28" t="inlineStr">
        <is>
          <t>TPS7A3901DSCR</t>
        </is>
      </c>
      <c r="F28" t="inlineStr">
        <is>
          <t>296-TPS7A3901DSCRTR-ND</t>
        </is>
      </c>
      <c r="G28" t="inlineStr">
        <is>
          <t>Texas Instruments</t>
        </is>
      </c>
      <c r="H28" t="n">
        <v>13878</v>
      </c>
      <c r="I28" t="inlineStr">
        <is>
          <t>Active</t>
        </is>
      </c>
      <c r="J28" t="n">
        <v>1</v>
      </c>
      <c r="K28" t="n">
        <v>1</v>
      </c>
      <c r="L28" s="2" t="n">
        <v>6.05</v>
      </c>
      <c r="M28" s="2">
        <f>L28*J28</f>
        <v/>
      </c>
      <c r="O28" t="inlineStr">
        <is>
          <t>https://www.ti.com/general/docs/suppproductinfo.tsp?distId=10&amp;gotoUrl=https%3A%2F%2Fwww.ti.com%2Flit%2Fgpn%2Ftps7a39</t>
        </is>
      </c>
    </row>
    <row r="29">
      <c r="A29" t="n">
        <v>2</v>
      </c>
      <c r="B29" t="inlineStr">
        <is>
          <t>LT3094EMSE#PBF</t>
        </is>
      </c>
      <c r="C29" t="inlineStr">
        <is>
          <t>Analog Devices Inc.</t>
        </is>
      </c>
      <c r="D29" t="inlineStr">
        <is>
          <t>U9, U20</t>
        </is>
      </c>
      <c r="E29" t="inlineStr">
        <is>
          <t>LT3094EMSE -14.3V</t>
        </is>
      </c>
      <c r="F29" t="inlineStr">
        <is>
          <t>505-LT3094EMSE#PBF-ND</t>
        </is>
      </c>
      <c r="G29" t="inlineStr">
        <is>
          <t>Analog Devices Inc.</t>
        </is>
      </c>
      <c r="H29" t="n">
        <v>1675</v>
      </c>
      <c r="I29" t="inlineStr">
        <is>
          <t>Active</t>
        </is>
      </c>
      <c r="J29" t="n">
        <v>2</v>
      </c>
      <c r="K29" t="n">
        <v>1</v>
      </c>
      <c r="L29" s="2" t="n">
        <v>9.17</v>
      </c>
      <c r="M29" s="2">
        <f>L29*J29</f>
        <v/>
      </c>
      <c r="O29" t="inlineStr">
        <is>
          <t>https://www.analog.com/media/en/technical-documentation/data-sheets/LT3094.pdf</t>
        </is>
      </c>
    </row>
    <row r="30">
      <c r="A30" t="n">
        <v>1</v>
      </c>
      <c r="B30" t="inlineStr">
        <is>
          <t>MC7906CTG</t>
        </is>
      </c>
      <c r="C30" t="inlineStr">
        <is>
          <t>onsemi</t>
        </is>
      </c>
      <c r="D30" t="inlineStr">
        <is>
          <t>U18</t>
        </is>
      </c>
      <c r="E30" t="inlineStr">
        <is>
          <t>MC7906CTG</t>
        </is>
      </c>
      <c r="F30" t="inlineStr">
        <is>
          <t>MC7906CTGOS-ND</t>
        </is>
      </c>
      <c r="G30" t="inlineStr">
        <is>
          <t>onsemi</t>
        </is>
      </c>
      <c r="H30" t="n">
        <v>564</v>
      </c>
      <c r="I30" t="inlineStr">
        <is>
          <t>Active</t>
        </is>
      </c>
      <c r="J30" t="n">
        <v>1</v>
      </c>
      <c r="K30" t="n">
        <v>1</v>
      </c>
      <c r="L30" s="2" t="n">
        <v>0.8100000000000001</v>
      </c>
      <c r="M30" s="2">
        <f>L30*J30</f>
        <v/>
      </c>
      <c r="O30" t="inlineStr">
        <is>
          <t>https://www.onsemi.com/pdf/datasheet/mc7900-d.pdf</t>
        </is>
      </c>
      <c r="P30" t="inlineStr">
        <is>
          <t>was MC7905 (E3 fix); -8V parts obsolete -&gt; -6V used (1V headroom OK)</t>
        </is>
      </c>
    </row>
    <row r="31">
      <c r="A31" t="n">
        <v>1</v>
      </c>
      <c r="B31" t="inlineStr">
        <is>
          <t>OPA192IDBVR</t>
        </is>
      </c>
      <c r="C31" t="inlineStr">
        <is>
          <t>Texas Instruments</t>
        </is>
      </c>
      <c r="D31" t="inlineStr">
        <is>
          <t>U21</t>
        </is>
      </c>
      <c r="E31" t="inlineStr">
        <is>
          <t>OPA192IDBVR</t>
        </is>
      </c>
      <c r="F31" t="inlineStr">
        <is>
          <t>296-42105-2-ND</t>
        </is>
      </c>
      <c r="G31" t="inlineStr">
        <is>
          <t>Texas Instruments</t>
        </is>
      </c>
      <c r="H31" t="n">
        <v>22574</v>
      </c>
      <c r="I31" t="inlineStr">
        <is>
          <t>Active</t>
        </is>
      </c>
      <c r="J31" t="n">
        <v>1</v>
      </c>
      <c r="K31" t="n">
        <v>1</v>
      </c>
      <c r="L31" s="2" t="n">
        <v>3.83</v>
      </c>
      <c r="M31" s="2">
        <f>L31*J31</f>
        <v/>
      </c>
      <c r="O31" t="inlineStr">
        <is>
          <t>https://www.ti.com/general/docs/suppproductinfo.tsp?distId=10&amp;gotoUrl=https%3A%2F%2Fwww.ti.com%2Flit%2Fgpn%2Fopa192</t>
        </is>
      </c>
    </row>
    <row r="32">
      <c r="A32" t="n">
        <v>1</v>
      </c>
      <c r="B32" t="inlineStr">
        <is>
          <t>RC0805JR-070RL</t>
        </is>
      </c>
      <c r="C32" t="inlineStr">
        <is>
          <t>YAGEO</t>
        </is>
      </c>
      <c r="D32" t="inlineStr">
        <is>
          <t>R11</t>
        </is>
      </c>
      <c r="E32" t="inlineStr">
        <is>
          <t>0R</t>
        </is>
      </c>
      <c r="F32" t="inlineStr">
        <is>
          <t>311-0.0ARTR-ND</t>
        </is>
      </c>
      <c r="G32" t="inlineStr">
        <is>
          <t>YAGEO</t>
        </is>
      </c>
      <c r="H32" t="n">
        <v>1126427</v>
      </c>
      <c r="I32" t="inlineStr">
        <is>
          <t>Active</t>
        </is>
      </c>
      <c r="J32" t="n">
        <v>1</v>
      </c>
      <c r="K32" t="n">
        <v>1</v>
      </c>
      <c r="L32" s="2" t="n">
        <v>0.1</v>
      </c>
      <c r="M32" s="2">
        <f>L32*J32</f>
        <v/>
      </c>
      <c r="O32" t="inlineStr">
        <is>
          <t>https://yageogroup.com/content/datasheet/asset/file/PYU-RC_GROUP_51_ROHS_L</t>
        </is>
      </c>
    </row>
    <row r="33">
      <c r="A33" t="n">
        <v>1</v>
      </c>
      <c r="B33" t="inlineStr">
        <is>
          <t>ERA-6AEB1373V</t>
        </is>
      </c>
      <c r="C33" t="inlineStr">
        <is>
          <t>Panasonic Industry</t>
        </is>
      </c>
      <c r="D33" t="inlineStr">
        <is>
          <t>R15</t>
        </is>
      </c>
      <c r="E33" t="inlineStr">
        <is>
          <t>137k 0.1%</t>
        </is>
      </c>
      <c r="F33" t="inlineStr">
        <is>
          <t>10-ERA-6AEB1373VTR-ND</t>
        </is>
      </c>
      <c r="G33" t="inlineStr">
        <is>
          <t>Panasonic Industry</t>
        </is>
      </c>
      <c r="H33" t="n">
        <v>2709</v>
      </c>
      <c r="I33" t="inlineStr">
        <is>
          <t>Active</t>
        </is>
      </c>
      <c r="J33" t="n">
        <v>1</v>
      </c>
      <c r="K33" t="n">
        <v>1</v>
      </c>
      <c r="L33" s="2" t="n">
        <v>0.1</v>
      </c>
      <c r="M33" s="2">
        <f>L33*J33</f>
        <v/>
      </c>
      <c r="O33" t="inlineStr">
        <is>
          <t>https://industrial.panasonic.com/cdbs/www-data/pdf/RDM0000/AOA0000C307.pdf</t>
        </is>
      </c>
    </row>
    <row r="34">
      <c r="A34" t="n">
        <v>3</v>
      </c>
      <c r="B34" t="inlineStr">
        <is>
          <t>ERA-6AEB103V</t>
        </is>
      </c>
      <c r="C34" t="inlineStr">
        <is>
          <t>Panasonic Industry</t>
        </is>
      </c>
      <c r="D34" t="inlineStr">
        <is>
          <t>R16, R48, R49</t>
        </is>
      </c>
      <c r="E34" t="inlineStr">
        <is>
          <t>10k 0.1%</t>
        </is>
      </c>
      <c r="F34" t="inlineStr">
        <is>
          <t>P10KDATR-ND</t>
        </is>
      </c>
      <c r="G34" t="inlineStr">
        <is>
          <t>Panasonic Industry</t>
        </is>
      </c>
      <c r="H34" t="n">
        <v>183592</v>
      </c>
      <c r="I34" t="inlineStr">
        <is>
          <t>Active</t>
        </is>
      </c>
      <c r="J34" t="n">
        <v>3</v>
      </c>
      <c r="K34" t="n">
        <v>1</v>
      </c>
      <c r="L34" s="2" t="n">
        <v>0.1</v>
      </c>
      <c r="M34" s="2">
        <f>L34*J34</f>
        <v/>
      </c>
      <c r="O34" t="inlineStr">
        <is>
          <t>https://industrial.panasonic.com/cdbs/www-data/pdf/RDM0000/AOA0000C307.pdf</t>
        </is>
      </c>
    </row>
    <row r="35">
      <c r="A35" t="n">
        <v>1</v>
      </c>
      <c r="B35" t="inlineStr">
        <is>
          <t>ERA-6AEB2492V</t>
        </is>
      </c>
      <c r="C35" t="inlineStr">
        <is>
          <t>Panasonic Industry</t>
        </is>
      </c>
      <c r="D35" t="inlineStr">
        <is>
          <t>R41</t>
        </is>
      </c>
      <c r="E35" t="inlineStr">
        <is>
          <t>24.9k 0.1%</t>
        </is>
      </c>
      <c r="F35" t="inlineStr">
        <is>
          <t>P24.9KDATR-ND</t>
        </is>
      </c>
      <c r="G35" t="inlineStr">
        <is>
          <t>Panasonic Industry</t>
        </is>
      </c>
      <c r="H35" t="n">
        <v>5940</v>
      </c>
      <c r="I35" t="inlineStr">
        <is>
          <t>Active</t>
        </is>
      </c>
      <c r="J35" t="n">
        <v>1</v>
      </c>
      <c r="K35" t="n">
        <v>1</v>
      </c>
      <c r="L35" s="2" t="n">
        <v>0.1</v>
      </c>
      <c r="M35" s="2">
        <f>L35*J35</f>
        <v/>
      </c>
      <c r="O35" t="inlineStr">
        <is>
          <t>https://industrial.panasonic.com/cdbs/www-data/pdf/RDM0000/AOA0000C307.pdf</t>
        </is>
      </c>
    </row>
    <row r="36">
      <c r="A36" t="n">
        <v>1</v>
      </c>
      <c r="B36" t="inlineStr">
        <is>
          <t>RC0805FR-07604RL</t>
        </is>
      </c>
      <c r="C36" t="inlineStr">
        <is>
          <t>YAGEO</t>
        </is>
      </c>
      <c r="D36" t="inlineStr">
        <is>
          <t>R44</t>
        </is>
      </c>
      <c r="E36" t="inlineStr">
        <is>
          <t>604</t>
        </is>
      </c>
      <c r="F36" t="inlineStr">
        <is>
          <t>311-604CRTR-ND</t>
        </is>
      </c>
      <c r="G36" t="inlineStr">
        <is>
          <t>YAGEO</t>
        </is>
      </c>
      <c r="H36" t="n">
        <v>19791</v>
      </c>
      <c r="I36" t="inlineStr">
        <is>
          <t>Active</t>
        </is>
      </c>
      <c r="J36" t="n">
        <v>1</v>
      </c>
      <c r="K36" t="n">
        <v>1</v>
      </c>
      <c r="L36" s="2" t="n">
        <v>0.1</v>
      </c>
      <c r="M36" s="2">
        <f>L36*J36</f>
        <v/>
      </c>
      <c r="O36" t="inlineStr">
        <is>
          <t>https://yageogroup.com/content/datasheet/asset/file/PYU-RC_GROUP_51_ROHS_L</t>
        </is>
      </c>
    </row>
    <row r="37">
      <c r="A37" t="n">
        <v>1</v>
      </c>
      <c r="B37" t="inlineStr">
        <is>
          <t>ERJ-6ENF49R9V</t>
        </is>
      </c>
      <c r="C37" t="inlineStr">
        <is>
          <t>Panasonic Industry</t>
        </is>
      </c>
      <c r="D37" t="inlineStr">
        <is>
          <t>R50</t>
        </is>
      </c>
      <c r="E37" t="inlineStr">
        <is>
          <t>49.9R</t>
        </is>
      </c>
      <c r="F37" t="inlineStr">
        <is>
          <t>P49.9CTR-ND</t>
        </is>
      </c>
      <c r="G37" t="inlineStr">
        <is>
          <t>Panasonic Industry</t>
        </is>
      </c>
      <c r="H37" t="n">
        <v>13204</v>
      </c>
      <c r="I37" t="inlineStr">
        <is>
          <t>Active</t>
        </is>
      </c>
      <c r="J37" t="n">
        <v>1</v>
      </c>
      <c r="K37" t="n">
        <v>1</v>
      </c>
      <c r="L37" s="2" t="n">
        <v>0.12</v>
      </c>
      <c r="M37" s="2">
        <f>L37*J37</f>
        <v/>
      </c>
      <c r="O37" t="inlineStr">
        <is>
          <t>https://industrial.panasonic.com/cdbs/www-data/pdf/RDA0000/AOA0000C304.pdf</t>
        </is>
      </c>
      <c r="P37" t="inlineStr">
        <is>
          <t>VREF_MID buffer isolation resistor</t>
        </is>
      </c>
    </row>
    <row r="38">
      <c r="A38" t="n">
        <v>6</v>
      </c>
      <c r="B38" t="inlineStr">
        <is>
          <t>531102B02500G</t>
        </is>
      </c>
      <c r="C38" t="inlineStr">
        <is>
          <t>Boyd</t>
        </is>
      </c>
      <c r="D38" t="inlineStr">
        <is>
          <t>HS1, HS2, HS3, HS4, HS5, HS6</t>
        </is>
      </c>
      <c r="E38" t="inlineStr">
        <is>
          <t>Heatsink TO-220</t>
        </is>
      </c>
      <c r="F38" t="inlineStr">
        <is>
          <t>HS352-ND</t>
        </is>
      </c>
      <c r="G38" t="inlineStr">
        <is>
          <t>Boyd Laconia, LLC</t>
        </is>
      </c>
      <c r="H38" t="n">
        <v>19143</v>
      </c>
      <c r="I38" t="inlineStr">
        <is>
          <t>Active</t>
        </is>
      </c>
      <c r="J38" t="n">
        <v>6</v>
      </c>
      <c r="K38" t="n">
        <v>1</v>
      </c>
      <c r="L38" s="2" t="n">
        <v>2.12</v>
      </c>
      <c r="M38" s="2">
        <f>L38*J38</f>
        <v/>
      </c>
      <c r="O38" t="inlineStr">
        <is>
          <t>https://info.boydcorp.com/hubfs/Thermal/Air-Cooling/Boyd-Board-Level-Heatsinks-Extrusions.pdf</t>
        </is>
      </c>
      <c r="P38" t="inlineStr">
        <is>
          <t>board-mount, solder pins; U18 tab is live (-18V) -&gt; isolate</t>
        </is>
      </c>
    </row>
    <row r="39">
      <c r="A39" t="n">
        <v>6</v>
      </c>
      <c r="B39" t="inlineStr">
        <is>
          <t>4880G</t>
        </is>
      </c>
      <c r="C39" t="inlineStr">
        <is>
          <t>Boyd</t>
        </is>
      </c>
      <c r="D39" t="inlineStr">
        <is>
          <t>U4, U5, U13, U14, U17, U18 iso kits</t>
        </is>
      </c>
      <c r="E39" t="inlineStr">
        <is>
          <t>TO-220 mount kit</t>
        </is>
      </c>
      <c r="F39" t="inlineStr">
        <is>
          <t>HS417-ND</t>
        </is>
      </c>
      <c r="G39" t="inlineStr">
        <is>
          <t>Boyd Laconia, LLC</t>
        </is>
      </c>
      <c r="H39" t="n">
        <v>24228</v>
      </c>
      <c r="I39" t="inlineStr">
        <is>
          <t>Active</t>
        </is>
      </c>
      <c r="J39" t="n">
        <v>6</v>
      </c>
      <c r="K39" t="n">
        <v>1</v>
      </c>
      <c r="L39" s="2" t="n">
        <v>1.23</v>
      </c>
      <c r="M39" s="2">
        <f>L39*J39</f>
        <v/>
      </c>
      <c r="O39" t="inlineStr">
        <is>
          <t>https://info.boydcorp.com/hubfs/Thermal/Air-Cooling/Boyd-Board-Level-Heatsinks-Extrusions.pdf</t>
        </is>
      </c>
      <c r="P39" t="inlineStr">
        <is>
          <t>hardware (off-PCB); mandatory for U18 (live tab)</t>
        </is>
      </c>
    </row>
    <row r="40">
      <c r="A40" t="n">
        <v>2</v>
      </c>
      <c r="B40" t="inlineStr">
        <is>
          <t>ERJ-6BWFR020V</t>
        </is>
      </c>
      <c r="C40" t="inlineStr">
        <is>
          <t>Panasonic Industry</t>
        </is>
      </c>
      <c r="D40" t="inlineStr">
        <is>
          <t>R42, R43</t>
        </is>
      </c>
      <c r="E40" t="inlineStr">
        <is>
          <t>20m 1%</t>
        </is>
      </c>
      <c r="F40" t="inlineStr">
        <is>
          <t>P.02AQTR-ND</t>
        </is>
      </c>
      <c r="G40" t="inlineStr">
        <is>
          <t>Panasonic Industry</t>
        </is>
      </c>
      <c r="H40" t="n">
        <v>52363</v>
      </c>
      <c r="I40" t="inlineStr">
        <is>
          <t>Active</t>
        </is>
      </c>
      <c r="J40" t="n">
        <v>2</v>
      </c>
      <c r="K40" t="n">
        <v>1</v>
      </c>
      <c r="L40" s="2" t="n">
        <v>0.59</v>
      </c>
      <c r="M40" s="2">
        <f>L40*J40</f>
        <v/>
      </c>
      <c r="O40" t="inlineStr">
        <is>
          <t>https://industrial.panasonic.com/cdbs/www-data/pdf/RDO0000/AOA0000C331.pdf</t>
        </is>
      </c>
      <c r="P40" t="inlineStr">
        <is>
          <t>LT3045 parallel ballast (was DNP PCB-trace; traces measured ~6mOhm, too low)</t>
        </is>
      </c>
    </row>
    <row r="41">
      <c r="L41" s="2" t="n"/>
      <c r="M41" s="2" t="n"/>
    </row>
    <row r="42">
      <c r="L42" s="3" t="inlineStr">
        <is>
          <t>TOTAL</t>
        </is>
      </c>
      <c r="M42" s="3">
        <f>SUM(M2:M40)</f>
        <v/>
      </c>
    </row>
    <row r="43">
      <c r="F43" s="4" t="inlineStr">
        <is>
          <t>Prices pulled 2026-07-13 20:19 (USD), 1 board(s); E1-E6 + VREF_MID (2.5V ratiometric, R50/C75) updates applied 2026-07-14; HS1-HS6 heatsinks + iso kits added 2026-07-14; R42/R43 20m ballast populated 2026-07-14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2026-07-14T00:17:34Z</dcterms:created>
  <dcterms:modified xmlns:dcterms="http://purl.org/dc/terms/" xmlns:xsi="http://www.w3.org/2001/XMLSchema-instance" xsi:type="dcterms:W3CDTF">2026-07-15T00:52:45Z</dcterms:modified>
</cp:coreProperties>
</file>