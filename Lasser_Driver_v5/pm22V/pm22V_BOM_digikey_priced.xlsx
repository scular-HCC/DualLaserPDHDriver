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  <c r="H1" s="1" t="inlineStr">
        <is>
          <t>DigiKey P/N</t>
        </is>
      </c>
      <c r="I1" s="1" t="inlineStr">
        <is>
          <t>Found Mfr</t>
        </is>
      </c>
      <c r="J1" s="1" t="inlineStr">
        <is>
          <t>Stock</t>
        </is>
      </c>
      <c r="K1" s="1" t="inlineStr">
        <is>
          <t>Status</t>
        </is>
      </c>
      <c r="L1" s="1" t="inlineStr">
        <is>
          <t>Order Qty</t>
        </is>
      </c>
      <c r="M1" s="1" t="inlineStr">
        <is>
          <t>Price Break</t>
        </is>
      </c>
      <c r="N1" s="1" t="inlineStr">
        <is>
          <t>Unit Price</t>
        </is>
      </c>
      <c r="O1" s="1" t="inlineStr">
        <is>
          <t>Extended Price</t>
        </is>
      </c>
      <c r="P1" s="1" t="inlineStr">
        <is>
          <t>MOQ</t>
        </is>
      </c>
      <c r="Q1" s="1" t="inlineStr">
        <is>
          <t>Datasheet</t>
        </is>
      </c>
      <c r="R1" s="1" t="inlineStr">
        <is>
          <t>Notes</t>
        </is>
      </c>
    </row>
    <row r="2">
      <c r="A2" t="n">
        <v>2</v>
      </c>
      <c r="B2" t="inlineStr">
        <is>
          <t>CL21B474KBFNNNE</t>
        </is>
      </c>
      <c r="C2" t="inlineStr">
        <is>
          <t>Samsung</t>
        </is>
      </c>
      <c r="D2" t="inlineStr">
        <is>
          <t>pm22V C1,C2</t>
        </is>
      </c>
      <c r="E2" t="inlineStr">
        <is>
          <t>0.47uF</t>
        </is>
      </c>
      <c r="F2" t="inlineStr">
        <is>
          <t>C_0805</t>
        </is>
      </c>
      <c r="G2" t="inlineStr">
        <is>
          <t>MLCC 0.47uF 50V X7R 0805 (gate soft-start)</t>
        </is>
      </c>
      <c r="H2" t="inlineStr">
        <is>
          <t>1276-1039-2-ND</t>
        </is>
      </c>
      <c r="I2" t="inlineStr">
        <is>
          <t>Samsung Electro-Mechanics</t>
        </is>
      </c>
      <c r="J2" t="n">
        <v>67047</v>
      </c>
      <c r="K2" t="inlineStr">
        <is>
          <t>Active</t>
        </is>
      </c>
      <c r="L2" t="n">
        <v>2</v>
      </c>
      <c r="M2" t="n">
        <v>1</v>
      </c>
      <c r="N2" s="2" t="n">
        <v>0.1</v>
      </c>
      <c r="O2" s="2">
        <f>N2*L2</f>
        <v/>
      </c>
      <c r="Q2" t="inlineStr">
        <is>
          <t>http://www.samsungsem.com/kr/support/product-search/mlcc/CL21B474KBFNNNE.jsp</t>
        </is>
      </c>
      <c r="R2" t="inlineStr"/>
    </row>
    <row r="3">
      <c r="A3" t="n">
        <v>4</v>
      </c>
      <c r="B3" t="inlineStr">
        <is>
          <t>UVZ1H222MHD</t>
        </is>
      </c>
      <c r="C3" t="inlineStr">
        <is>
          <t>Nichicon</t>
        </is>
      </c>
      <c r="D3" t="inlineStr">
        <is>
          <t>pm22V C3,C4,C9,C10</t>
        </is>
      </c>
      <c r="E3" t="inlineStr">
        <is>
          <t>2200uF 50V</t>
        </is>
      </c>
      <c r="F3" t="inlineStr">
        <is>
          <t>CP_Radial_D18.0mm_P7.5mm</t>
        </is>
      </c>
      <c r="G3" t="inlineStr">
        <is>
          <t>Al elec 2200uF 50V 105C 18x35.5 7.5mm (reservoir)</t>
        </is>
      </c>
      <c r="H3" t="inlineStr">
        <is>
          <t>493-1346-ND</t>
        </is>
      </c>
      <c r="I3" t="inlineStr">
        <is>
          <t>Nichicon</t>
        </is>
      </c>
      <c r="J3" t="n">
        <v>5514</v>
      </c>
      <c r="K3" t="inlineStr">
        <is>
          <t>Active</t>
        </is>
      </c>
      <c r="L3" t="n">
        <v>4</v>
      </c>
      <c r="M3" t="n">
        <v>1</v>
      </c>
      <c r="N3" s="2" t="n">
        <v>2.39</v>
      </c>
      <c r="O3" s="2">
        <f>N3*L3</f>
        <v/>
      </c>
      <c r="Q3" t="inlineStr">
        <is>
          <t>https://www.nichicon.co.jp/english/series_items/catalog_pdf/e-uvz.pdf</t>
        </is>
      </c>
      <c r="R3" t="inlineStr"/>
    </row>
    <row r="4">
      <c r="A4" t="n">
        <v>2</v>
      </c>
      <c r="B4" t="inlineStr">
        <is>
          <t>UHE1H102MHD</t>
        </is>
      </c>
      <c r="C4" t="inlineStr">
        <is>
          <t>Nichicon</t>
        </is>
      </c>
      <c r="D4" t="inlineStr">
        <is>
          <t>pm22V C5,C6</t>
        </is>
      </c>
      <c r="E4" t="inlineStr">
        <is>
          <t>1000uF 50V</t>
        </is>
      </c>
      <c r="F4" t="inlineStr">
        <is>
          <t>CP_Radial_D16.0mm_P7.5mm</t>
        </is>
      </c>
      <c r="G4" t="inlineStr">
        <is>
          <t>Al elec 1000uF 50V 105C 16x25 7.5mm (output)</t>
        </is>
      </c>
      <c r="H4" t="inlineStr">
        <is>
          <t>493-1621-ND</t>
        </is>
      </c>
      <c r="I4" t="inlineStr">
        <is>
          <t>Nichicon</t>
        </is>
      </c>
      <c r="J4" t="n">
        <v>1970</v>
      </c>
      <c r="K4" t="inlineStr">
        <is>
          <t>Active</t>
        </is>
      </c>
      <c r="L4" t="n">
        <v>2</v>
      </c>
      <c r="M4" t="n">
        <v>1</v>
      </c>
      <c r="N4" s="2" t="n">
        <v>2.18</v>
      </c>
      <c r="O4" s="2">
        <f>N4*L4</f>
        <v/>
      </c>
      <c r="Q4" t="inlineStr">
        <is>
          <t>https://www.nichicon.co.jp/english/series_items/catalog_pdf/e-uhe.pdf</t>
        </is>
      </c>
      <c r="R4" t="inlineStr"/>
    </row>
    <row r="5">
      <c r="A5" t="n">
        <v>2</v>
      </c>
      <c r="B5" t="inlineStr">
        <is>
          <t>CL21B225KBYNNWE</t>
        </is>
      </c>
      <c r="C5" t="inlineStr">
        <is>
          <t>Samsung</t>
        </is>
      </c>
      <c r="D5" t="inlineStr">
        <is>
          <t>pm22V C7,C8</t>
        </is>
      </c>
      <c r="E5" t="inlineStr">
        <is>
          <t>2.2uF</t>
        </is>
      </c>
      <c r="F5" t="inlineStr">
        <is>
          <t>C_0805</t>
        </is>
      </c>
      <c r="G5" t="inlineStr">
        <is>
          <t>MLCC 2.2uF 50V X7R 0805 (output bypass)</t>
        </is>
      </c>
      <c r="H5" t="inlineStr">
        <is>
          <t>1276-CL21B225KBYNNWETR-ND</t>
        </is>
      </c>
      <c r="I5" t="inlineStr">
        <is>
          <t>Samsung Electro-Mechanics</t>
        </is>
      </c>
      <c r="J5" t="n">
        <v>76540</v>
      </c>
      <c r="K5" t="inlineStr">
        <is>
          <t>Active</t>
        </is>
      </c>
      <c r="L5" t="n">
        <v>2</v>
      </c>
      <c r="M5" t="n">
        <v>1</v>
      </c>
      <c r="N5" s="2" t="n">
        <v>0.24</v>
      </c>
      <c r="O5" s="2">
        <f>N5*L5</f>
        <v/>
      </c>
      <c r="Q5" t="inlineStr">
        <is>
          <t>https://weblib.samsungsem.com/mlcc/mlcc-ec-data-sheet.do?partNumber=CL21B225KBYNNW</t>
        </is>
      </c>
      <c r="R5" t="inlineStr"/>
    </row>
    <row r="6">
      <c r="A6" t="n">
        <v>1</v>
      </c>
      <c r="B6" t="inlineStr">
        <is>
          <t>GBPC1510W</t>
        </is>
      </c>
      <c r="C6" t="inlineStr">
        <is>
          <t>Surge Components</t>
        </is>
      </c>
      <c r="D6" t="inlineStr">
        <is>
          <t>pm22V D1</t>
        </is>
      </c>
      <c r="E6" t="inlineStr">
        <is>
          <t>GBPC1510W (GBPC-W)</t>
        </is>
      </c>
      <c r="F6" t="inlineStr">
        <is>
          <t>Diode_Bridge_GBPC-W_PCB</t>
        </is>
      </c>
      <c r="G6" t="inlineStr">
        <is>
          <t>Bridge rect 15A 1000V GBPC-W wire-lead PCB+bolt</t>
        </is>
      </c>
      <c r="H6" t="inlineStr">
        <is>
          <t>2616-GBPC1510W-ND</t>
        </is>
      </c>
      <c r="I6" t="inlineStr">
        <is>
          <t>SURGE</t>
        </is>
      </c>
      <c r="J6" t="n">
        <v>243</v>
      </c>
      <c r="K6" t="inlineStr">
        <is>
          <t>Active</t>
        </is>
      </c>
      <c r="L6" t="n">
        <v>1</v>
      </c>
      <c r="M6" t="n">
        <v>1</v>
      </c>
      <c r="N6" s="2" t="n">
        <v>2.24</v>
      </c>
      <c r="O6" s="2">
        <f>N6*L6</f>
        <v/>
      </c>
      <c r="Q6" t="inlineStr">
        <is>
          <t>//mm.digikey.com/Volume0/opasdata/d220001/medias/docus/3003/GBPC15.pdf</t>
        </is>
      </c>
      <c r="R6" t="inlineStr">
        <is>
          <t>APPROX MATCH -&gt; GBPC1510W (verify)</t>
        </is>
      </c>
    </row>
    <row r="7">
      <c r="A7" t="n">
        <v>2</v>
      </c>
      <c r="B7" t="inlineStr">
        <is>
          <t>1N4742ATR</t>
        </is>
      </c>
      <c r="C7" t="inlineStr">
        <is>
          <t>onsemi</t>
        </is>
      </c>
      <c r="D7" t="inlineStr">
        <is>
          <t>pm22V D2,D3</t>
        </is>
      </c>
      <c r="E7" t="inlineStr">
        <is>
          <t>1N4742A</t>
        </is>
      </c>
      <c r="F7" t="inlineStr">
        <is>
          <t>D_DO-41</t>
        </is>
      </c>
      <c r="G7" t="inlineStr">
        <is>
          <t>Zener 12V 1W DO-41 (Vgs clamp)</t>
        </is>
      </c>
      <c r="H7" t="inlineStr">
        <is>
          <t>1N4742AFSTR-ND</t>
        </is>
      </c>
      <c r="I7" t="inlineStr">
        <is>
          <t>onsemi</t>
        </is>
      </c>
      <c r="J7" t="n">
        <v>85783</v>
      </c>
      <c r="K7" t="inlineStr">
        <is>
          <t>Active</t>
        </is>
      </c>
      <c r="L7" t="n">
        <v>2</v>
      </c>
      <c r="M7" t="n">
        <v>1</v>
      </c>
      <c r="N7" s="2" t="n">
        <v>0.28</v>
      </c>
      <c r="O7" s="2">
        <f>N7*L7</f>
        <v/>
      </c>
      <c r="Q7" t="inlineStr">
        <is>
          <t>https://www.onsemi.com/pdf/datasheet/1n4736at-d.pdf</t>
        </is>
      </c>
      <c r="R7" t="inlineStr"/>
    </row>
    <row r="8">
      <c r="A8" t="n">
        <v>2</v>
      </c>
      <c r="B8" t="inlineStr">
        <is>
          <t>531102B02500G</t>
        </is>
      </c>
      <c r="C8" t="inlineStr">
        <is>
          <t>Boyd</t>
        </is>
      </c>
      <c r="D8" t="inlineStr">
        <is>
          <t>pm22V HS1,HS2</t>
        </is>
      </c>
      <c r="E8" t="inlineStr">
        <is>
          <t>Heatsink TO-220</t>
        </is>
      </c>
      <c r="F8" t="inlineStr">
        <is>
          <t>Heatsink_H38.1mm</t>
        </is>
      </c>
      <c r="G8" t="inlineStr">
        <is>
          <t>Heatsink TO-220 board-mount H38.1mm</t>
        </is>
      </c>
      <c r="H8" t="inlineStr">
        <is>
          <t>HS352-ND</t>
        </is>
      </c>
      <c r="I8" t="inlineStr">
        <is>
          <t>Boyd Laconia, LLC</t>
        </is>
      </c>
      <c r="J8" t="n">
        <v>19733</v>
      </c>
      <c r="K8" t="inlineStr">
        <is>
          <t>Active</t>
        </is>
      </c>
      <c r="L8" t="n">
        <v>2</v>
      </c>
      <c r="M8" t="n">
        <v>1</v>
      </c>
      <c r="N8" s="2" t="n">
        <v>2.12</v>
      </c>
      <c r="O8" s="2">
        <f>N8*L8</f>
        <v/>
      </c>
      <c r="Q8" t="inlineStr">
        <is>
          <t>https://info.boydcorp.com/hubfs/Thermal/Air-Cooling/Boyd-Board-Level-Heatsinks-Catalog.pdf</t>
        </is>
      </c>
      <c r="R8" t="inlineStr"/>
    </row>
    <row r="9">
      <c r="A9" t="n">
        <v>1</v>
      </c>
      <c r="B9" t="inlineStr">
        <is>
          <t>6223BG</t>
        </is>
      </c>
      <c r="C9" t="inlineStr">
        <is>
          <t>Boyd</t>
        </is>
      </c>
      <c r="D9" t="inlineStr">
        <is>
          <t>pm22V HS3</t>
        </is>
      </c>
      <c r="E9" t="inlineStr">
        <is>
          <t>Heatsink GBPC</t>
        </is>
      </c>
      <c r="F9" t="inlineStr">
        <is>
          <t>Bridge_GBPC_Heatsink</t>
        </is>
      </c>
      <c r="G9" t="inlineStr">
        <is>
          <t>Heatsink for GBPC bridge</t>
        </is>
      </c>
      <c r="H9" t="inlineStr">
        <is>
          <t>6223BG-ND</t>
        </is>
      </c>
      <c r="I9" t="inlineStr">
        <is>
          <t>Boyd Laconia, LLC</t>
        </is>
      </c>
      <c r="J9" t="n">
        <v>2213</v>
      </c>
      <c r="K9" t="inlineStr">
        <is>
          <t>Active</t>
        </is>
      </c>
      <c r="L9" t="n">
        <v>1</v>
      </c>
      <c r="M9" t="n">
        <v>1</v>
      </c>
      <c r="N9" s="2" t="n">
        <v>9.16</v>
      </c>
      <c r="O9" s="2">
        <f>N9*L9</f>
        <v/>
      </c>
      <c r="Q9" t="inlineStr">
        <is>
          <t>https://info.boydcorp.com/hubfs/Thermal/Air-Cooling/Boyd-Board-Level-Heatsinks-Catalog.pdf</t>
        </is>
      </c>
      <c r="R9" t="inlineStr"/>
    </row>
    <row r="10">
      <c r="A10" t="n">
        <v>2</v>
      </c>
      <c r="B10" t="inlineStr">
        <is>
          <t>4880G</t>
        </is>
      </c>
      <c r="C10" t="inlineStr">
        <is>
          <t>Boyd</t>
        </is>
      </c>
      <c r="D10" t="inlineStr">
        <is>
          <t>pm22V Q1,Q2 (TO-220 iso)</t>
        </is>
      </c>
      <c r="E10" t="inlineStr">
        <is>
          <t>TO-220 mount kit</t>
        </is>
      </c>
      <c r="F10" t="inlineStr">
        <is>
          <t>Hardware (off-PCB)</t>
        </is>
      </c>
      <c r="G10" t="inlineStr">
        <is>
          <t>Insulator+shoulder washer kit; isolates FET tab from heatsink</t>
        </is>
      </c>
      <c r="H10" t="inlineStr">
        <is>
          <t>HS417-ND</t>
        </is>
      </c>
      <c r="I10" t="inlineStr">
        <is>
          <t>Boyd Laconia, LLC</t>
        </is>
      </c>
      <c r="J10" t="n">
        <v>25077</v>
      </c>
      <c r="K10" t="inlineStr">
        <is>
          <t>Active</t>
        </is>
      </c>
      <c r="L10" t="n">
        <v>2</v>
      </c>
      <c r="M10" t="n">
        <v>1</v>
      </c>
      <c r="N10" s="2" t="n">
        <v>1.23</v>
      </c>
      <c r="O10" s="2">
        <f>N10*L10</f>
        <v/>
      </c>
      <c r="Q10" t="inlineStr">
        <is>
          <t>https://info.boydcorp.com/hubfs/Thermal/Air-Cooling/Boyd-Board-Level-Heatsinks-Catalog.pdf</t>
        </is>
      </c>
      <c r="R10" t="inlineStr"/>
    </row>
    <row r="11">
      <c r="A11" t="n">
        <v>1</v>
      </c>
      <c r="B11" t="inlineStr">
        <is>
          <t>TG-A3500-30-30-0.5</t>
        </is>
      </c>
      <c r="C11" t="inlineStr">
        <is>
          <t>t-Global</t>
        </is>
      </c>
      <c r="D11" t="inlineStr">
        <is>
          <t>pm22V D1/HS3 (thermal)</t>
        </is>
      </c>
      <c r="E11" t="inlineStr">
        <is>
          <t>30x30x0.5mm pad</t>
        </is>
      </c>
      <c r="F11" t="inlineStr">
        <is>
          <t>Hardware (off-PCB)</t>
        </is>
      </c>
      <c r="G11" t="inlineStr">
        <is>
          <t>Thermal pad 30x30x0.5mm for GBPC bridge to HS3</t>
        </is>
      </c>
      <c r="H11" t="inlineStr">
        <is>
          <t>1168-TG-A3500-30-30-0.5-ND</t>
        </is>
      </c>
      <c r="I11" t="inlineStr">
        <is>
          <t>t-Global Technology</t>
        </is>
      </c>
      <c r="J11" t="n">
        <v>2058</v>
      </c>
      <c r="K11" t="inlineStr">
        <is>
          <t>Active</t>
        </is>
      </c>
      <c r="L11" t="n">
        <v>1</v>
      </c>
      <c r="M11" t="n">
        <v>1</v>
      </c>
      <c r="N11" s="2" t="n">
        <v>0.5</v>
      </c>
      <c r="O11" s="2">
        <f>N11*L11</f>
        <v/>
      </c>
      <c r="Q11" t="inlineStr">
        <is>
          <t>https://www.tglobaltechnology.com/wp-content/uploads/2023/08/TG-A3500_UK.pdf</t>
        </is>
      </c>
      <c r="R11" t="inlineStr"/>
    </row>
    <row r="12">
      <c r="A12" t="n">
        <v>1</v>
      </c>
      <c r="B12" t="inlineStr">
        <is>
          <t>1729131</t>
        </is>
      </c>
      <c r="C12" t="inlineStr">
        <is>
          <t>Phoenix Contact</t>
        </is>
      </c>
      <c r="D12" t="inlineStr">
        <is>
          <t>pm22V J5</t>
        </is>
      </c>
      <c r="E12" t="inlineStr">
        <is>
          <t>MKDS 1,5/3-5,08</t>
        </is>
      </c>
      <c r="F12" t="inlineStr">
        <is>
          <t>TerminalBlock_MKDS_3_P5.08mm</t>
        </is>
      </c>
      <c r="G12" t="inlineStr">
        <is>
          <t>Single-piece PCB screw terminal 3pos 5.08mm side-entry</t>
        </is>
      </c>
      <c r="H12" t="inlineStr">
        <is>
          <t>277-1248-ND</t>
        </is>
      </c>
      <c r="I12" t="inlineStr">
        <is>
          <t>Phoenix Contact</t>
        </is>
      </c>
      <c r="J12" t="n">
        <v>15236</v>
      </c>
      <c r="K12" t="inlineStr">
        <is>
          <t>Active</t>
        </is>
      </c>
      <c r="L12" t="n">
        <v>1</v>
      </c>
      <c r="M12" t="n">
        <v>1</v>
      </c>
      <c r="N12" s="2" t="n">
        <v>1.44</v>
      </c>
      <c r="O12" s="2">
        <f>N12*L12</f>
        <v/>
      </c>
      <c r="Q12" t="inlineStr">
        <is>
          <t>//mm.digikey.com/Volume0/opasdata/d220001/medias/docus/5784/MKDSN%201%2C5_%203-5%2C08.pdf</t>
        </is>
      </c>
      <c r="R12" t="inlineStr"/>
    </row>
    <row r="13">
      <c r="A13" t="n">
        <v>1</v>
      </c>
      <c r="B13" t="inlineStr">
        <is>
          <t>374144-E</t>
        </is>
      </c>
      <c r="C13" t="inlineStr">
        <is>
          <t>TE/ERNI</t>
        </is>
      </c>
      <c r="D13" t="inlineStr">
        <is>
          <t>pm22V J6</t>
        </is>
      </c>
      <c r="E13" t="inlineStr">
        <is>
          <t>DIN41612 M 3x8+8</t>
        </is>
      </c>
      <c r="F13" t="inlineStr">
        <is>
          <t>DIN41612_M_Power_Male</t>
        </is>
      </c>
      <c r="G13" t="inlineStr">
        <is>
          <t>DIN41612 Type M 24sig+8pwr R/A male</t>
        </is>
      </c>
      <c r="H13" t="inlineStr">
        <is>
          <t>2684-374144-E-ND</t>
        </is>
      </c>
      <c r="I13" t="inlineStr">
        <is>
          <t>TE Connectivity Erni</t>
        </is>
      </c>
      <c r="J13" t="n">
        <v>0</v>
      </c>
      <c r="K13" t="inlineStr">
        <is>
          <t>Active</t>
        </is>
      </c>
      <c r="L13" t="n">
        <v>1</v>
      </c>
      <c r="M13" t="n">
        <v>1</v>
      </c>
      <c r="N13" s="2" t="n">
        <v>10.31</v>
      </c>
      <c r="O13" s="2">
        <f>N13*L13</f>
        <v/>
      </c>
      <c r="Q13" t="inlineStr">
        <is>
          <t>https://www.erni.com/fileadmin/import/products/assets/DC0006731.PDF</t>
        </is>
      </c>
      <c r="R13" t="inlineStr">
        <is>
          <t>LOW STOCK (0 &lt; 1)</t>
        </is>
      </c>
    </row>
    <row r="14">
      <c r="A14" t="n">
        <v>1</v>
      </c>
      <c r="B14" t="inlineStr">
        <is>
          <t>IRF540NPBF</t>
        </is>
      </c>
      <c r="C14" t="inlineStr">
        <is>
          <t>Infineon</t>
        </is>
      </c>
      <c r="D14" t="inlineStr">
        <is>
          <t>pm22V Q1</t>
        </is>
      </c>
      <c r="E14" t="inlineStr">
        <is>
          <t>IRF540N</t>
        </is>
      </c>
      <c r="F14" t="inlineStr">
        <is>
          <t>TO-220-3</t>
        </is>
      </c>
      <c r="G14" t="inlineStr">
        <is>
          <t>N-MOSFET 100V 33A TO-220 (pos pass)</t>
        </is>
      </c>
      <c r="H14" t="inlineStr">
        <is>
          <t>IRF540NPBF-ND</t>
        </is>
      </c>
      <c r="I14" t="inlineStr">
        <is>
          <t>Infineon Technologies</t>
        </is>
      </c>
      <c r="J14" t="n">
        <v>64</v>
      </c>
      <c r="K14" t="inlineStr">
        <is>
          <t>Active</t>
        </is>
      </c>
      <c r="L14" t="n">
        <v>1</v>
      </c>
      <c r="M14" t="n">
        <v>1</v>
      </c>
      <c r="N14" s="2" t="n">
        <v>1.93</v>
      </c>
      <c r="O14" s="2">
        <f>N14*L14</f>
        <v/>
      </c>
      <c r="Q14" t="inlineStr">
        <is>
          <t>https://www.infineon.com/assets/row/public/documents/24/49/infineon-irf540n-datasheet-en.pdf</t>
        </is>
      </c>
      <c r="R14" t="inlineStr"/>
    </row>
    <row r="15">
      <c r="A15" t="n">
        <v>1</v>
      </c>
      <c r="B15" t="inlineStr">
        <is>
          <t>IRF9540NPBF</t>
        </is>
      </c>
      <c r="C15" t="inlineStr">
        <is>
          <t>Infineon</t>
        </is>
      </c>
      <c r="D15" t="inlineStr">
        <is>
          <t>pm22V Q2</t>
        </is>
      </c>
      <c r="E15" t="inlineStr">
        <is>
          <t>IRF9540N</t>
        </is>
      </c>
      <c r="F15" t="inlineStr">
        <is>
          <t>TO-220-3</t>
        </is>
      </c>
      <c r="G15" t="inlineStr">
        <is>
          <t>P-MOSFET -100V TO-220 (neg pass)</t>
        </is>
      </c>
      <c r="H15" t="inlineStr">
        <is>
          <t>IRF9540NPBF-ND</t>
        </is>
      </c>
      <c r="I15" t="inlineStr">
        <is>
          <t>Infineon Technologies</t>
        </is>
      </c>
      <c r="J15" t="n">
        <v>12195</v>
      </c>
      <c r="K15" t="inlineStr">
        <is>
          <t>Active</t>
        </is>
      </c>
      <c r="L15" t="n">
        <v>1</v>
      </c>
      <c r="M15" t="n">
        <v>1</v>
      </c>
      <c r="N15" s="2" t="n">
        <v>2.91</v>
      </c>
      <c r="O15" s="2">
        <f>N15*L15</f>
        <v/>
      </c>
      <c r="Q15" t="inlineStr">
        <is>
          <t>https://www.infineon.com/assets/row/public/documents/24/49/infineon-irf9540n-datasheet-en.pdf</t>
        </is>
      </c>
      <c r="R15" t="inlineStr"/>
    </row>
    <row r="16">
      <c r="A16" t="n">
        <v>2</v>
      </c>
      <c r="B16" t="inlineStr">
        <is>
          <t>TUW15J15RE</t>
        </is>
      </c>
      <c r="C16" t="inlineStr">
        <is>
          <t>Ohmite</t>
        </is>
      </c>
      <c r="D16" t="inlineStr">
        <is>
          <t>pm22V R2,R3</t>
        </is>
      </c>
      <c r="E16" t="inlineStr">
        <is>
          <t>15 ohm 15W</t>
        </is>
      </c>
      <c r="F16" t="inlineStr">
        <is>
          <t>R_Axial_Power_P45.72mm</t>
        </is>
      </c>
      <c r="G16" t="inlineStr">
        <is>
          <t>WW 15ohm 15W axial (soft-start)</t>
        </is>
      </c>
      <c r="H16" t="inlineStr">
        <is>
          <t>TUW15J15RE-ND</t>
        </is>
      </c>
      <c r="I16" t="inlineStr">
        <is>
          <t>Ohmite</t>
        </is>
      </c>
      <c r="J16" t="n">
        <v>3814</v>
      </c>
      <c r="K16" t="inlineStr">
        <is>
          <t>Active</t>
        </is>
      </c>
      <c r="L16" t="n">
        <v>2</v>
      </c>
      <c r="M16" t="n">
        <v>1</v>
      </c>
      <c r="N16" s="2" t="n">
        <v>2.07</v>
      </c>
      <c r="O16" s="2">
        <f>N16*L16</f>
        <v/>
      </c>
      <c r="Q16" t="inlineStr">
        <is>
          <t>https://www.ohmite.com/assets/images/res-tuw-tum.pdf</t>
        </is>
      </c>
      <c r="R16" t="inlineStr"/>
    </row>
    <row r="17">
      <c r="A17" t="n">
        <v>2</v>
      </c>
      <c r="B17" t="inlineStr">
        <is>
          <t>RC0805FR-071ML</t>
        </is>
      </c>
      <c r="C17" t="inlineStr">
        <is>
          <t>Yageo</t>
        </is>
      </c>
      <c r="D17" t="inlineStr">
        <is>
          <t>pm22V R4,R5</t>
        </is>
      </c>
      <c r="E17" t="inlineStr">
        <is>
          <t>1M</t>
        </is>
      </c>
      <c r="F17" t="inlineStr">
        <is>
          <t>R_0805</t>
        </is>
      </c>
      <c r="G17" t="inlineStr">
        <is>
          <t>Res 1M 1% 1/8W 0805 (gate bleed)</t>
        </is>
      </c>
      <c r="H17" t="inlineStr">
        <is>
          <t>311-1.00MCRTR-ND</t>
        </is>
      </c>
      <c r="I17" t="inlineStr">
        <is>
          <t>YAGEO</t>
        </is>
      </c>
      <c r="J17" t="n">
        <v>318676</v>
      </c>
      <c r="K17" t="inlineStr">
        <is>
          <t>Active</t>
        </is>
      </c>
      <c r="L17" t="n">
        <v>2</v>
      </c>
      <c r="M17" t="n">
        <v>1</v>
      </c>
      <c r="N17" s="2" t="n">
        <v>0.1</v>
      </c>
      <c r="O17" s="2">
        <f>N17*L17</f>
        <v/>
      </c>
      <c r="Q17" t="inlineStr">
        <is>
          <t>https://yageogroup.com/content/datasheet/asset/file/PYU-RC_GROUP_51_ROHS_L</t>
        </is>
      </c>
      <c r="R17" t="inlineStr"/>
    </row>
    <row r="18">
      <c r="A18" t="n">
        <v>2</v>
      </c>
      <c r="B18" t="inlineStr">
        <is>
          <t>RC0805FR-07100KL</t>
        </is>
      </c>
      <c r="C18" t="inlineStr">
        <is>
          <t>Yageo</t>
        </is>
      </c>
      <c r="D18" t="inlineStr">
        <is>
          <t>pm22V R6,R7</t>
        </is>
      </c>
      <c r="E18" t="inlineStr">
        <is>
          <t>100k</t>
        </is>
      </c>
      <c r="F18" t="inlineStr">
        <is>
          <t>R_0805</t>
        </is>
      </c>
      <c r="G18" t="inlineStr">
        <is>
          <t>Res 100k 1% 1/8W 0805 (gate pull)</t>
        </is>
      </c>
      <c r="H18" t="inlineStr">
        <is>
          <t>311-100KCRTR-ND</t>
        </is>
      </c>
      <c r="I18" t="inlineStr">
        <is>
          <t>YAGEO</t>
        </is>
      </c>
      <c r="J18" t="n">
        <v>633012</v>
      </c>
      <c r="K18" t="inlineStr">
        <is>
          <t>Active</t>
        </is>
      </c>
      <c r="L18" t="n">
        <v>2</v>
      </c>
      <c r="M18" t="n">
        <v>1</v>
      </c>
      <c r="N18" s="2" t="n">
        <v>0.1</v>
      </c>
      <c r="O18" s="2">
        <f>N18*L18</f>
        <v/>
      </c>
      <c r="Q18" t="inlineStr">
        <is>
          <t>https://yageogroup.com/content/datasheet/asset/file/PYU-RC_GROUP_51_ROHS_L</t>
        </is>
      </c>
      <c r="R18" t="inlineStr"/>
    </row>
    <row r="19">
      <c r="A19" t="n">
        <v>2</v>
      </c>
      <c r="B19" t="inlineStr">
        <is>
          <t>CRL1206-FW-R470ELF</t>
        </is>
      </c>
      <c r="C19" t="inlineStr">
        <is>
          <t>Bourns</t>
        </is>
      </c>
      <c r="D19" t="inlineStr">
        <is>
          <t>pm22V R8,R9</t>
        </is>
      </c>
      <c r="E19" t="inlineStr">
        <is>
          <t>0.47</t>
        </is>
      </c>
      <c r="F19" t="inlineStr">
        <is>
          <t>R_1206</t>
        </is>
      </c>
      <c r="G19" t="inlineStr">
        <is>
          <t>Res 0.47ohm 1% 1/2W 1206 (output series)</t>
        </is>
      </c>
      <c r="H19" t="inlineStr">
        <is>
          <t>118-CRL1206-FW-R470ELFTR-ND</t>
        </is>
      </c>
      <c r="I19" t="inlineStr">
        <is>
          <t>Bourns Inc.</t>
        </is>
      </c>
      <c r="J19" t="n">
        <v>48005</v>
      </c>
      <c r="K19" t="inlineStr">
        <is>
          <t>Active</t>
        </is>
      </c>
      <c r="L19" t="n">
        <v>2</v>
      </c>
      <c r="M19" t="n">
        <v>1</v>
      </c>
      <c r="N19" s="2" t="n">
        <v>0.21</v>
      </c>
      <c r="O19" s="2">
        <f>N19*L19</f>
        <v/>
      </c>
      <c r="Q19" t="inlineStr">
        <is>
          <t>https://www.bourns.com/docs/Product-Datasheets/CRL.pdf</t>
        </is>
      </c>
      <c r="R19" t="inlineStr"/>
    </row>
    <row r="20">
      <c r="N20" s="2" t="n"/>
      <c r="O20" s="2" t="n"/>
    </row>
    <row r="21">
      <c r="N21" s="3" t="inlineStr">
        <is>
          <t>TOTAL</t>
        </is>
      </c>
      <c r="O21" s="3">
        <f>SUM(O2:O19)</f>
        <v/>
      </c>
    </row>
    <row r="22">
      <c r="H22" s="4" t="inlineStr">
        <is>
          <t>Prices pulled 2026-06-30 15:06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2026-06-30T19:05:50Z</dcterms:created>
  <dcterms:modified xmlns:dcterms="http://purl.org/dc/terms/" xmlns:xsi="http://www.w3.org/2001/XMLSchema-instance" xsi:type="dcterms:W3CDTF">2026-06-30T19:06:24Z</dcterms:modified>
</cp:coreProperties>
</file>