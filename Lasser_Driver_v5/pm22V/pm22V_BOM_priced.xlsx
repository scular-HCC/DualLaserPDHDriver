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22V BOM" sheetId="1" state="visible" r:id="rId1"/>
  </sheets>
  <definedNames>
    <definedName name="_xlnm._FilterDatabase" localSheetId="0" hidden="1">'pm22V BOM'!$A$1:$H$18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##;($#,##0.00####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8" customWidth="1" min="3" max="3"/>
    <col width="30" customWidth="1" min="4" max="4"/>
    <col width="16" customWidth="1" min="5" max="5"/>
    <col width="50" customWidth="1" min="6" max="6"/>
    <col width="7" customWidth="1" min="7" max="7"/>
    <col width="40" customWidth="1" min="8" max="8"/>
    <col width="18" customWidth="1" min="9" max="9"/>
    <col width="2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2" customWidth="1" min="15" max="15"/>
    <col width="14" customWidth="1" min="16" max="16"/>
    <col width="8" customWidth="1" min="17" max="17"/>
    <col width="30" customWidth="1" min="18" max="18"/>
    <col width="26" customWidth="1" min="19" max="19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1" t="inlineStr">
        <is>
          <t>Digi-Key Part Number</t>
        </is>
      </c>
      <c r="E1" s="1" t="inlineStr">
        <is>
          <t>Customer Reference</t>
        </is>
      </c>
      <c r="F1" s="1" t="inlineStr">
        <is>
          <t>Description</t>
        </is>
      </c>
      <c r="G1" s="1" t="inlineStr">
        <is>
          <t>Mount</t>
        </is>
      </c>
      <c r="H1" s="1" t="inlineStr">
        <is>
          <t>Notes</t>
        </is>
      </c>
      <c r="I1" s="4" t="inlineStr">
        <is>
          <t>DigiKey P/N</t>
        </is>
      </c>
      <c r="J1" s="4" t="inlineStr">
        <is>
          <t>Found Mfr</t>
        </is>
      </c>
      <c r="K1" s="4" t="inlineStr">
        <is>
          <t>Stock</t>
        </is>
      </c>
      <c r="L1" s="4" t="inlineStr">
        <is>
          <t>Status</t>
        </is>
      </c>
      <c r="M1" s="4" t="inlineStr">
        <is>
          <t>Order Qty</t>
        </is>
      </c>
      <c r="N1" s="4" t="inlineStr">
        <is>
          <t>Price Break</t>
        </is>
      </c>
      <c r="O1" s="4" t="inlineStr">
        <is>
          <t>Unit Price</t>
        </is>
      </c>
      <c r="P1" s="4" t="inlineStr">
        <is>
          <t>Extended Price</t>
        </is>
      </c>
      <c r="Q1" s="4" t="inlineStr">
        <is>
          <t>MOQ</t>
        </is>
      </c>
      <c r="R1" s="4" t="inlineStr">
        <is>
          <t>Datasheet</t>
        </is>
      </c>
      <c r="S1" s="4" t="inlineStr">
        <is>
          <t>Notes</t>
        </is>
      </c>
    </row>
    <row r="2">
      <c r="A2" s="2" t="n">
        <v>2</v>
      </c>
      <c r="B2" s="3" t="inlineStr">
        <is>
          <t>CL21B474KBFNNNE</t>
        </is>
      </c>
      <c r="C2" s="3" t="inlineStr">
        <is>
          <t>Samsung Electro-Mechanics</t>
        </is>
      </c>
      <c r="D2" s="3" t="inlineStr">
        <is>
          <t>1276-1039-2-ND</t>
        </is>
      </c>
      <c r="E2" s="3" t="inlineStr">
        <is>
          <t>C1, C2</t>
        </is>
      </c>
      <c r="F2" s="3" t="inlineStr">
        <is>
          <t>CAP CER 0.47uF 50V X7R 0805</t>
        </is>
      </c>
      <c r="G2" s="3" t="inlineStr">
        <is>
          <t>SMD</t>
        </is>
      </c>
      <c r="H2" s="3" t="inlineStr"/>
      <c r="I2" t="inlineStr">
        <is>
          <t>1276-1039-2-ND</t>
        </is>
      </c>
      <c r="J2" t="inlineStr">
        <is>
          <t>Samsung Electro-Mechanics</t>
        </is>
      </c>
      <c r="K2" t="n">
        <v>67200</v>
      </c>
      <c r="L2" t="inlineStr">
        <is>
          <t>Active</t>
        </is>
      </c>
      <c r="M2" t="n">
        <v>2</v>
      </c>
      <c r="N2" t="n">
        <v>1</v>
      </c>
      <c r="O2" s="5" t="n">
        <v>0.1</v>
      </c>
      <c r="P2" s="5">
        <f>O2*M2</f>
        <v/>
      </c>
      <c r="R2" t="inlineStr">
        <is>
          <t>http://www.samsungsem.com/kr/support/product-search/mlcc/CL21B474KBFNNNE.jsp</t>
        </is>
      </c>
      <c r="S2" t="inlineStr"/>
    </row>
    <row r="3">
      <c r="A3" s="2" t="n">
        <v>2</v>
      </c>
      <c r="B3" s="3" t="inlineStr">
        <is>
          <t>EEU-FC1H222</t>
        </is>
      </c>
      <c r="C3" s="3" t="inlineStr">
        <is>
          <t>Panasonic</t>
        </is>
      </c>
      <c r="D3" s="3" t="inlineStr">
        <is>
          <t>P10335-ND</t>
        </is>
      </c>
      <c r="E3" s="3" t="inlineStr">
        <is>
          <t>C3, C4</t>
        </is>
      </c>
      <c r="F3" s="3" t="inlineStr">
        <is>
          <t>CAP ALUM 2200uF 50V 20% RADIAL 18mm P7.5</t>
        </is>
      </c>
      <c r="G3" s="3" t="inlineStr">
        <is>
          <t>THT</t>
        </is>
      </c>
      <c r="H3" s="3" t="inlineStr"/>
      <c r="I3" t="inlineStr">
        <is>
          <t>P10335-ND</t>
        </is>
      </c>
      <c r="J3" t="inlineStr">
        <is>
          <t>Panasonic Industry</t>
        </is>
      </c>
      <c r="K3" t="n">
        <v>2864</v>
      </c>
      <c r="L3" t="inlineStr">
        <is>
          <t>Active</t>
        </is>
      </c>
      <c r="M3" t="n">
        <v>2</v>
      </c>
      <c r="N3" t="n">
        <v>1</v>
      </c>
      <c r="O3" s="5" t="n">
        <v>3.54</v>
      </c>
      <c r="P3" s="5">
        <f>O3*M3</f>
        <v/>
      </c>
      <c r="R3" t="inlineStr">
        <is>
          <t>https://industrial.panasonic.com/cdbs/www-data/pdf/RDF0000/ABA0000C1209.pdf</t>
        </is>
      </c>
      <c r="S3" t="inlineStr"/>
    </row>
    <row r="4">
      <c r="A4" s="2" t="n">
        <v>2</v>
      </c>
      <c r="B4" s="3" t="inlineStr">
        <is>
          <t>EEU-FC1H102</t>
        </is>
      </c>
      <c r="C4" s="3" t="inlineStr">
        <is>
          <t>Panasonic</t>
        </is>
      </c>
      <c r="D4" s="3" t="inlineStr">
        <is>
          <t>P10333-ND</t>
        </is>
      </c>
      <c r="E4" s="3" t="inlineStr">
        <is>
          <t>C5, C6</t>
        </is>
      </c>
      <c r="F4" s="3" t="inlineStr">
        <is>
          <t>CAP ALUM 1000uF 50V 20% RADIAL 16mm P7.5</t>
        </is>
      </c>
      <c r="G4" s="3" t="inlineStr">
        <is>
          <t>THT</t>
        </is>
      </c>
      <c r="H4" s="3" t="inlineStr"/>
      <c r="I4" t="inlineStr">
        <is>
          <t>P10333-ND</t>
        </is>
      </c>
      <c r="J4" t="inlineStr">
        <is>
          <t>Panasonic Industry</t>
        </is>
      </c>
      <c r="K4" t="n">
        <v>1909</v>
      </c>
      <c r="L4" t="inlineStr">
        <is>
          <t>Active</t>
        </is>
      </c>
      <c r="M4" t="n">
        <v>2</v>
      </c>
      <c r="N4" t="n">
        <v>1</v>
      </c>
      <c r="O4" s="5" t="n">
        <v>2.25</v>
      </c>
      <c r="P4" s="5">
        <f>O4*M4</f>
        <v/>
      </c>
      <c r="R4" t="inlineStr">
        <is>
          <t>https://industrial.panasonic.com/ww/products/pt/aluminum-cap-lead/models/EEUFC1H102</t>
        </is>
      </c>
      <c r="S4" t="inlineStr"/>
    </row>
    <row r="5">
      <c r="A5" s="2" t="n">
        <v>2</v>
      </c>
      <c r="B5" s="3" t="inlineStr">
        <is>
          <t>08055C225KAT2A</t>
        </is>
      </c>
      <c r="C5" s="3" t="inlineStr">
        <is>
          <t>KYOCERA AVX</t>
        </is>
      </c>
      <c r="D5" s="3" t="inlineStr">
        <is>
          <t>478-KGM21AR71H225KUTR-ND</t>
        </is>
      </c>
      <c r="E5" s="3" t="inlineStr">
        <is>
          <t>C7, C8</t>
        </is>
      </c>
      <c r="F5" s="3" t="inlineStr">
        <is>
          <t>CAP CER 2.2uF 50V X7R 0805</t>
        </is>
      </c>
      <c r="G5" s="3" t="inlineStr">
        <is>
          <t>SMD</t>
        </is>
      </c>
      <c r="H5" s="3" t="inlineStr"/>
      <c r="I5" t="inlineStr">
        <is>
          <t>478-KGM21AR71H225KUTR-ND</t>
        </is>
      </c>
      <c r="J5" t="inlineStr">
        <is>
          <t>KYOCERA AVX</t>
        </is>
      </c>
      <c r="K5" t="n">
        <v>19837</v>
      </c>
      <c r="L5" t="inlineStr">
        <is>
          <t>Active</t>
        </is>
      </c>
      <c r="M5" t="n">
        <v>2</v>
      </c>
      <c r="N5" t="n">
        <v>1</v>
      </c>
      <c r="O5" s="5" t="n">
        <v>1.5</v>
      </c>
      <c r="P5" s="5">
        <f>O5*M5</f>
        <v/>
      </c>
      <c r="R5" t="inlineStr">
        <is>
          <t>https://datasheets.kyocera-avx.com/KGM_X7R.pdf</t>
        </is>
      </c>
      <c r="S5" t="inlineStr"/>
    </row>
    <row r="6">
      <c r="A6" s="2" t="n">
        <v>1</v>
      </c>
      <c r="B6" s="3" t="inlineStr">
        <is>
          <t>GBPC1510-E4/51</t>
        </is>
      </c>
      <c r="C6" s="3" t="inlineStr">
        <is>
          <t>Vishay General Semiconductor</t>
        </is>
      </c>
      <c r="D6" s="3" t="inlineStr">
        <is>
          <t>GBPC1510-E4/51-ND</t>
        </is>
      </c>
      <c r="E6" s="3" t="inlineStr">
        <is>
          <t>D1</t>
        </is>
      </c>
      <c r="F6" s="3" t="inlineStr">
        <is>
          <t>BRIDGE RECT 1PH 1kV 15A GBPC</t>
        </is>
      </c>
      <c r="G6" s="3" t="inlineStr">
        <is>
          <t>THT</t>
        </is>
      </c>
      <c r="H6" s="3" t="inlineStr">
        <is>
          <t>Bolts to HS3</t>
        </is>
      </c>
      <c r="I6" t="inlineStr">
        <is>
          <t>GBPC1510-E4/51-ND</t>
        </is>
      </c>
      <c r="J6" t="inlineStr">
        <is>
          <t>Vishay General Semiconductor - Diodes Division</t>
        </is>
      </c>
      <c r="K6" t="n">
        <v>136</v>
      </c>
      <c r="L6" t="inlineStr">
        <is>
          <t>Active</t>
        </is>
      </c>
      <c r="M6" t="n">
        <v>1</v>
      </c>
      <c r="N6" t="n">
        <v>1</v>
      </c>
      <c r="O6" s="5" t="n">
        <v>7.88</v>
      </c>
      <c r="P6" s="5">
        <f>O6*M6</f>
        <v/>
      </c>
      <c r="R6" t="inlineStr">
        <is>
          <t>https://www.vishay.com/docs/88612/gbpc12.pdf</t>
        </is>
      </c>
      <c r="S6" t="inlineStr"/>
    </row>
    <row r="7">
      <c r="A7" s="2" t="n">
        <v>2</v>
      </c>
      <c r="B7" s="3" t="inlineStr">
        <is>
          <t>1N4742ATR</t>
        </is>
      </c>
      <c r="C7" s="3" t="inlineStr">
        <is>
          <t>onsemi</t>
        </is>
      </c>
      <c r="D7" s="3" t="inlineStr">
        <is>
          <t>1N4742AFSTR-ND</t>
        </is>
      </c>
      <c r="E7" s="3" t="inlineStr">
        <is>
          <t>D2, D3</t>
        </is>
      </c>
      <c r="F7" s="3" t="inlineStr">
        <is>
          <t>DIODE ZENER 12V 1W DO-41</t>
        </is>
      </c>
      <c r="G7" s="3" t="inlineStr">
        <is>
          <t>THT</t>
        </is>
      </c>
      <c r="H7" s="3" t="inlineStr">
        <is>
          <t>gate Vgs clamp</t>
        </is>
      </c>
      <c r="I7" t="inlineStr">
        <is>
          <t>1N4742AFSTR-ND</t>
        </is>
      </c>
      <c r="J7" t="inlineStr">
        <is>
          <t>onsemi</t>
        </is>
      </c>
      <c r="K7" t="n">
        <v>85783</v>
      </c>
      <c r="L7" t="inlineStr">
        <is>
          <t>Active</t>
        </is>
      </c>
      <c r="M7" t="n">
        <v>2</v>
      </c>
      <c r="N7" t="n">
        <v>1</v>
      </c>
      <c r="O7" s="5" t="n">
        <v>0.28</v>
      </c>
      <c r="P7" s="5">
        <f>O7*M7</f>
        <v/>
      </c>
      <c r="R7" t="inlineStr">
        <is>
          <t>https://www.onsemi.com/pdf/datasheet/1n4736at-d.pdf</t>
        </is>
      </c>
      <c r="S7" t="inlineStr"/>
    </row>
    <row r="8">
      <c r="A8" s="2" t="n">
        <v>2</v>
      </c>
      <c r="B8" s="3" t="inlineStr">
        <is>
          <t>531102B02500G</t>
        </is>
      </c>
      <c r="C8" s="3" t="inlineStr">
        <is>
          <t>Boyd (Aavid)</t>
        </is>
      </c>
      <c r="D8" s="3" t="inlineStr">
        <is>
          <t>HS352-ND</t>
        </is>
      </c>
      <c r="E8" s="3" t="inlineStr">
        <is>
          <t>HS1, HS2</t>
        </is>
      </c>
      <c r="F8" s="3" t="inlineStr">
        <is>
          <t>HEATSINK TO-220 W/PINS 1.5in</t>
        </is>
      </c>
      <c r="G8" s="3" t="inlineStr">
        <is>
          <t>Mech</t>
        </is>
      </c>
      <c r="H8" s="3" t="inlineStr">
        <is>
          <t>Off-board / on Q1,Q2 tab</t>
        </is>
      </c>
      <c r="I8" t="inlineStr">
        <is>
          <t>HS352-ND</t>
        </is>
      </c>
      <c r="J8" t="inlineStr">
        <is>
          <t>Boyd Laconia, LLC</t>
        </is>
      </c>
      <c r="K8" t="n">
        <v>19989</v>
      </c>
      <c r="L8" t="inlineStr">
        <is>
          <t>Active</t>
        </is>
      </c>
      <c r="M8" t="n">
        <v>2</v>
      </c>
      <c r="N8" t="n">
        <v>1</v>
      </c>
      <c r="O8" s="5" t="n">
        <v>2.12</v>
      </c>
      <c r="P8" s="5">
        <f>O8*M8</f>
        <v/>
      </c>
      <c r="R8" t="inlineStr">
        <is>
          <t>https://info.boydcorp.com/hubfs/Thermal/Air-Cooling/Boyd-Board-Level-Heatsinks-Catalog.pdf</t>
        </is>
      </c>
      <c r="S8" t="inlineStr"/>
    </row>
    <row r="9">
      <c r="A9" s="2" t="n">
        <v>1</v>
      </c>
      <c r="B9" s="3" t="inlineStr">
        <is>
          <t>6223BG</t>
        </is>
      </c>
      <c r="C9" s="3" t="inlineStr">
        <is>
          <t>Boyd (Aavid)</t>
        </is>
      </c>
      <c r="D9" s="3" t="inlineStr">
        <is>
          <t>6223BG-ND</t>
        </is>
      </c>
      <c r="E9" s="3" t="inlineStr">
        <is>
          <t>HS3</t>
        </is>
      </c>
      <c r="F9" s="3" t="inlineStr">
        <is>
          <t>HEATSINK BRIDGE RECTIFIER 0.163in</t>
        </is>
      </c>
      <c r="G9" s="3" t="inlineStr">
        <is>
          <t>Mech</t>
        </is>
      </c>
      <c r="H9" s="3" t="inlineStr">
        <is>
          <t>Off-board / bolts to D1</t>
        </is>
      </c>
      <c r="I9" t="inlineStr">
        <is>
          <t>6223BG-ND</t>
        </is>
      </c>
      <c r="J9" t="inlineStr">
        <is>
          <t>Boyd Laconia, LLC</t>
        </is>
      </c>
      <c r="K9" t="n">
        <v>2213</v>
      </c>
      <c r="L9" t="inlineStr">
        <is>
          <t>Active</t>
        </is>
      </c>
      <c r="M9" t="n">
        <v>1</v>
      </c>
      <c r="N9" t="n">
        <v>1</v>
      </c>
      <c r="O9" s="5" t="n">
        <v>9.16</v>
      </c>
      <c r="P9" s="5">
        <f>O9*M9</f>
        <v/>
      </c>
      <c r="R9" t="inlineStr">
        <is>
          <t>https://info.boydcorp.com/hubfs/Thermal/Air-Cooling/Boyd-Board-Level-Heatsinks-Catalog.pdf</t>
        </is>
      </c>
      <c r="S9" t="inlineStr"/>
    </row>
    <row r="10">
      <c r="A10" s="2" t="n">
        <v>1</v>
      </c>
      <c r="B10" s="3" t="inlineStr">
        <is>
          <t>1757255</t>
        </is>
      </c>
      <c r="C10" s="3" t="inlineStr">
        <is>
          <t>Phoenix Contact</t>
        </is>
      </c>
      <c r="D10" s="3" t="inlineStr">
        <is>
          <t>277-1107-ND</t>
        </is>
      </c>
      <c r="E10" s="3" t="inlineStr">
        <is>
          <t>J5</t>
        </is>
      </c>
      <c r="F10" s="3" t="inlineStr">
        <is>
          <t>TERM BLOCK HDR 3POS 5.08mm (MSTBA 2,5/3-G-5,08)</t>
        </is>
      </c>
      <c r="G10" s="3" t="inlineStr">
        <is>
          <t>THT</t>
        </is>
      </c>
      <c r="H10" s="3" t="inlineStr">
        <is>
          <t>Transformer leads in</t>
        </is>
      </c>
      <c r="I10" t="inlineStr">
        <is>
          <t>277-1107-ND</t>
        </is>
      </c>
      <c r="J10" t="inlineStr">
        <is>
          <t>Phoenix Contact</t>
        </is>
      </c>
      <c r="K10" t="n">
        <v>11470</v>
      </c>
      <c r="L10" t="inlineStr">
        <is>
          <t>Active</t>
        </is>
      </c>
      <c r="M10" t="n">
        <v>1</v>
      </c>
      <c r="N10" t="n">
        <v>1</v>
      </c>
      <c r="O10" s="5" t="n">
        <v>0.9</v>
      </c>
      <c r="P10" s="5">
        <f>O10*M10</f>
        <v/>
      </c>
      <c r="R10" t="inlineStr">
        <is>
          <t>https://www.phoenixcontact.com/us/products/1757255/pdf</t>
        </is>
      </c>
      <c r="S10" t="inlineStr"/>
    </row>
    <row r="11">
      <c r="A11" s="2" t="n">
        <v>1</v>
      </c>
      <c r="B11" s="3" t="inlineStr">
        <is>
          <t>374144-E</t>
        </is>
      </c>
      <c r="C11" s="3" t="inlineStr">
        <is>
          <t>ERNI / TE Connectivity</t>
        </is>
      </c>
      <c r="D11" s="3" t="inlineStr">
        <is>
          <t>2684-374144-E-ND</t>
        </is>
      </c>
      <c r="E11" s="3" t="inlineStr">
        <is>
          <t>J6</t>
        </is>
      </c>
      <c r="F11" s="3" t="inlineStr">
        <is>
          <t>CONN DIN41612 TYPE M 32POS R/A MALE (24 sig+8 pwr)</t>
        </is>
      </c>
      <c r="G11" s="3" t="inlineStr">
        <is>
          <t>THT</t>
        </is>
      </c>
      <c r="H11" s="3" t="inlineStr">
        <is>
          <t>** STOCK 0 - backorder / verify exact Type-M part **</t>
        </is>
      </c>
      <c r="I11" t="inlineStr">
        <is>
          <t>2684-374144-E-ND</t>
        </is>
      </c>
      <c r="J11" t="inlineStr">
        <is>
          <t>TE Connectivity Erni</t>
        </is>
      </c>
      <c r="K11" t="n">
        <v>0</v>
      </c>
      <c r="L11" t="inlineStr">
        <is>
          <t>Active</t>
        </is>
      </c>
      <c r="M11" t="n">
        <v>1</v>
      </c>
      <c r="N11" t="n">
        <v>1</v>
      </c>
      <c r="O11" s="5" t="n">
        <v>10.31</v>
      </c>
      <c r="P11" s="5">
        <f>O11*M11</f>
        <v/>
      </c>
      <c r="R11" t="inlineStr">
        <is>
          <t>https://www.erni.com/fileadmin/import/products/assets/DC0006731.PDF</t>
        </is>
      </c>
      <c r="S11" t="inlineStr">
        <is>
          <t>LOW STOCK (0 &lt; 1)</t>
        </is>
      </c>
    </row>
    <row r="12">
      <c r="A12" s="2" t="n">
        <v>1</v>
      </c>
      <c r="B12" s="3" t="inlineStr">
        <is>
          <t>IRF540NPBF</t>
        </is>
      </c>
      <c r="C12" s="3" t="inlineStr">
        <is>
          <t>Infineon Technologies</t>
        </is>
      </c>
      <c r="D12" s="3" t="inlineStr">
        <is>
          <t>IRF540NPBF-ND</t>
        </is>
      </c>
      <c r="E12" s="3" t="inlineStr">
        <is>
          <t>Q1</t>
        </is>
      </c>
      <c r="F12" s="3" t="inlineStr">
        <is>
          <t>MOSFET N-CH 100V 33A TO-220</t>
        </is>
      </c>
      <c r="G12" s="3" t="inlineStr">
        <is>
          <t>THT</t>
        </is>
      </c>
      <c r="H12" s="3" t="inlineStr">
        <is>
          <t>+ rail pass FET; on HS1</t>
        </is>
      </c>
      <c r="I12" t="inlineStr">
        <is>
          <t>IRF540NPBF-ND</t>
        </is>
      </c>
      <c r="J12" t="inlineStr">
        <is>
          <t>Infineon Technologies</t>
        </is>
      </c>
      <c r="K12" t="n">
        <v>95</v>
      </c>
      <c r="L12" t="inlineStr">
        <is>
          <t>Active</t>
        </is>
      </c>
      <c r="M12" t="n">
        <v>1</v>
      </c>
      <c r="N12" t="n">
        <v>1</v>
      </c>
      <c r="O12" s="5" t="n">
        <v>2.26</v>
      </c>
      <c r="P12" s="5">
        <f>O12*M12</f>
        <v/>
      </c>
      <c r="R12" t="inlineStr">
        <is>
          <t>https://www.infineon.com/assets/row/public/documents/24/49/infineon-irf540n-datasheet-en.pdf</t>
        </is>
      </c>
      <c r="S12" t="inlineStr"/>
    </row>
    <row r="13">
      <c r="A13" s="2" t="n">
        <v>1</v>
      </c>
      <c r="B13" s="3" t="inlineStr">
        <is>
          <t>IRF9540NPBF</t>
        </is>
      </c>
      <c r="C13" s="3" t="inlineStr">
        <is>
          <t>Infineon Technologies</t>
        </is>
      </c>
      <c r="D13" s="3" t="inlineStr">
        <is>
          <t>IRF9540NPBF-ND</t>
        </is>
      </c>
      <c r="E13" s="3" t="inlineStr">
        <is>
          <t>Q2</t>
        </is>
      </c>
      <c r="F13" s="3" t="inlineStr">
        <is>
          <t>MOSFET P-CH 100V 23A TO-220</t>
        </is>
      </c>
      <c r="G13" s="3" t="inlineStr">
        <is>
          <t>THT</t>
        </is>
      </c>
      <c r="H13" s="3" t="inlineStr">
        <is>
          <t>- rail pass FET; on HS2</t>
        </is>
      </c>
      <c r="I13" t="inlineStr">
        <is>
          <t>IRF9540NPBF-ND</t>
        </is>
      </c>
      <c r="J13" t="inlineStr">
        <is>
          <t>Infineon Technologies</t>
        </is>
      </c>
      <c r="K13" t="n">
        <v>12201</v>
      </c>
      <c r="L13" t="inlineStr">
        <is>
          <t>Active</t>
        </is>
      </c>
      <c r="M13" t="n">
        <v>1</v>
      </c>
      <c r="N13" t="n">
        <v>1</v>
      </c>
      <c r="O13" s="5" t="n">
        <v>3.4</v>
      </c>
      <c r="P13" s="5">
        <f>O13*M13</f>
        <v/>
      </c>
      <c r="R13" t="inlineStr">
        <is>
          <t>https://www.infineon.com/assets/row/public/documents/24/49/infineon-irf9540n-datasheet-en.pdf</t>
        </is>
      </c>
      <c r="S13" t="inlineStr"/>
    </row>
    <row r="14">
      <c r="A14" s="2" t="n">
        <v>2</v>
      </c>
      <c r="B14" s="3" t="inlineStr">
        <is>
          <t>SQPW1015RJ</t>
        </is>
      </c>
      <c r="C14" s="3" t="inlineStr">
        <is>
          <t>TE Connectivity</t>
        </is>
      </c>
      <c r="D14" s="3" t="inlineStr">
        <is>
          <t>A137409-ND</t>
        </is>
      </c>
      <c r="E14" s="3" t="inlineStr">
        <is>
          <t>R2, R3</t>
        </is>
      </c>
      <c r="F14" s="3" t="inlineStr">
        <is>
          <t>RES 15 OHM 5% 10W AXIAL</t>
        </is>
      </c>
      <c r="G14" s="3" t="inlineStr">
        <is>
          <t>THT</t>
        </is>
      </c>
      <c r="H14" s="3" t="inlineStr">
        <is>
          <t>Soft-start / inrush</t>
        </is>
      </c>
      <c r="I14" t="inlineStr">
        <is>
          <t>A137409-ND</t>
        </is>
      </c>
      <c r="J14" t="inlineStr">
        <is>
          <t>TE Connectivity Passive Product</t>
        </is>
      </c>
      <c r="K14" t="n">
        <v>756</v>
      </c>
      <c r="L14" t="inlineStr">
        <is>
          <t>Active</t>
        </is>
      </c>
      <c r="M14" t="n">
        <v>2</v>
      </c>
      <c r="N14" t="n">
        <v>1</v>
      </c>
      <c r="O14" s="5" t="n">
        <v>1.35</v>
      </c>
      <c r="P14" s="5">
        <f>O14*M14</f>
        <v/>
      </c>
      <c r="R14" t="inlineStr">
        <is>
          <t>https://www.te.com/commerce/DocumentDelivery/DDEController?Action=srchrtrv&amp;DocNm=1309350_PASSIVE_COMPONENT&amp;DocType=Catalog%20Section&amp;DocLang=English&amp;PartCntxt=1623795-3&amp;DocFormat=pdf</t>
        </is>
      </c>
      <c r="S14" t="inlineStr">
        <is>
          <t>APPROX MATCH -&gt; SQPW1015RJ (verify)</t>
        </is>
      </c>
    </row>
    <row r="15">
      <c r="A15" s="2" t="n">
        <v>2</v>
      </c>
      <c r="B15" s="3" t="inlineStr">
        <is>
          <t>RC0805FR-071ML</t>
        </is>
      </c>
      <c r="C15" s="3" t="inlineStr">
        <is>
          <t>Yageo</t>
        </is>
      </c>
      <c r="D15" s="3" t="inlineStr">
        <is>
          <t>311-1.00MCRTR-ND</t>
        </is>
      </c>
      <c r="E15" s="3" t="inlineStr">
        <is>
          <t>R4, R5</t>
        </is>
      </c>
      <c r="F15" s="3" t="inlineStr">
        <is>
          <t>RES 1M OHM 1% 1/8W 0805</t>
        </is>
      </c>
      <c r="G15" s="3" t="inlineStr">
        <is>
          <t>SMD</t>
        </is>
      </c>
      <c r="H15" s="3" t="inlineStr">
        <is>
          <t>gate bleed</t>
        </is>
      </c>
      <c r="I15" t="inlineStr">
        <is>
          <t>311-1.00MCRTR-ND</t>
        </is>
      </c>
      <c r="J15" t="inlineStr">
        <is>
          <t>YAGEO</t>
        </is>
      </c>
      <c r="K15" t="n">
        <v>264561</v>
      </c>
      <c r="L15" t="inlineStr">
        <is>
          <t>Active</t>
        </is>
      </c>
      <c r="M15" t="n">
        <v>2</v>
      </c>
      <c r="N15" t="n">
        <v>1</v>
      </c>
      <c r="O15" s="5" t="n">
        <v>0.1</v>
      </c>
      <c r="P15" s="5">
        <f>O15*M15</f>
        <v/>
      </c>
      <c r="R15" t="inlineStr">
        <is>
          <t>https://yageogroup.com/content/datasheet/asset/file/PYU-RC_GROUP_51_ROHS_L</t>
        </is>
      </c>
      <c r="S15" t="inlineStr"/>
    </row>
    <row r="16">
      <c r="A16" s="2" t="n">
        <v>2</v>
      </c>
      <c r="B16" s="3" t="inlineStr">
        <is>
          <t>RC0805FR-07100KL</t>
        </is>
      </c>
      <c r="C16" s="3" t="inlineStr">
        <is>
          <t>Yageo</t>
        </is>
      </c>
      <c r="D16" s="3" t="inlineStr">
        <is>
          <t>311-100KCRTR-ND</t>
        </is>
      </c>
      <c r="E16" s="3" t="inlineStr">
        <is>
          <t>R6, R7</t>
        </is>
      </c>
      <c r="F16" s="3" t="inlineStr">
        <is>
          <t>RES 100k OHM 1% 1/8W 0805</t>
        </is>
      </c>
      <c r="G16" s="3" t="inlineStr">
        <is>
          <t>SMD</t>
        </is>
      </c>
      <c r="H16" s="3" t="inlineStr">
        <is>
          <t>gate pull from RAW</t>
        </is>
      </c>
      <c r="I16" t="inlineStr">
        <is>
          <t>311-100KCRTR-ND</t>
        </is>
      </c>
      <c r="J16" t="inlineStr">
        <is>
          <t>YAGEO</t>
        </is>
      </c>
      <c r="K16" t="n">
        <v>578278</v>
      </c>
      <c r="L16" t="inlineStr">
        <is>
          <t>Active</t>
        </is>
      </c>
      <c r="M16" t="n">
        <v>2</v>
      </c>
      <c r="N16" t="n">
        <v>1</v>
      </c>
      <c r="O16" s="5" t="n">
        <v>0.1</v>
      </c>
      <c r="P16" s="5">
        <f>O16*M16</f>
        <v/>
      </c>
      <c r="R16" t="inlineStr">
        <is>
          <t>https://yageogroup.com/content/datasheet/asset/file/PYU-RC_GROUP_51_ROHS_L</t>
        </is>
      </c>
      <c r="S16" t="inlineStr"/>
    </row>
    <row r="17">
      <c r="A17" s="2" t="n">
        <v>2</v>
      </c>
      <c r="B17" s="3" t="inlineStr">
        <is>
          <t>CRL1206-FW-R470ELF</t>
        </is>
      </c>
      <c r="C17" s="3" t="inlineStr">
        <is>
          <t>Bourns</t>
        </is>
      </c>
      <c r="D17" s="3" t="inlineStr">
        <is>
          <t>118-CRL1206-FW-R470ELFTR-ND</t>
        </is>
      </c>
      <c r="E17" s="3" t="inlineStr">
        <is>
          <t>R8, R9</t>
        </is>
      </c>
      <c r="F17" s="3" t="inlineStr">
        <is>
          <t>RES 0.47 OHM 1% 1/2W 1206</t>
        </is>
      </c>
      <c r="G17" s="3" t="inlineStr">
        <is>
          <t>SMD</t>
        </is>
      </c>
      <c r="H17" s="3" t="inlineStr">
        <is>
          <t>output damping</t>
        </is>
      </c>
      <c r="I17" t="inlineStr">
        <is>
          <t>118-CRL1206-FW-R470ELFTR-ND</t>
        </is>
      </c>
      <c r="J17" t="inlineStr">
        <is>
          <t>Bourns Inc.</t>
        </is>
      </c>
      <c r="K17" t="n">
        <v>48005</v>
      </c>
      <c r="L17" t="inlineStr">
        <is>
          <t>Active</t>
        </is>
      </c>
      <c r="M17" t="n">
        <v>2</v>
      </c>
      <c r="N17" t="n">
        <v>1</v>
      </c>
      <c r="O17" s="5" t="n">
        <v>0.21</v>
      </c>
      <c r="P17" s="5">
        <f>O17*M17</f>
        <v/>
      </c>
      <c r="R17" t="inlineStr">
        <is>
          <t>https://www.bourns.com/docs/Product-Datasheets/CRL.pdf</t>
        </is>
      </c>
      <c r="S17" t="inlineStr"/>
    </row>
    <row r="18">
      <c r="A18" s="2" t="n">
        <v>1</v>
      </c>
      <c r="B18" s="3" t="inlineStr">
        <is>
          <t>VPT36-1390</t>
        </is>
      </c>
      <c r="C18" s="3" t="inlineStr">
        <is>
          <t>Triad Magnetics</t>
        </is>
      </c>
      <c r="D18" s="3" t="inlineStr">
        <is>
          <t>237-1334-ND</t>
        </is>
      </c>
      <c r="E18" s="3" t="inlineStr">
        <is>
          <t>T1</t>
        </is>
      </c>
      <c r="F18" s="3" t="inlineStr">
        <is>
          <t>XFMR TOROIDAL 50VA 115/230V &gt; 2x18V CHASSIS</t>
        </is>
      </c>
      <c r="G18" s="3" t="inlineStr">
        <is>
          <t>Mech</t>
        </is>
      </c>
      <c r="H18" s="3" t="inlineStr">
        <is>
          <t>Off-board / chassis mount</t>
        </is>
      </c>
      <c r="I18" t="inlineStr">
        <is>
          <t>237-1334-ND</t>
        </is>
      </c>
      <c r="J18" t="inlineStr">
        <is>
          <t>Triad Magnetics</t>
        </is>
      </c>
      <c r="K18" t="n">
        <v>330</v>
      </c>
      <c r="L18" t="inlineStr">
        <is>
          <t>Active</t>
        </is>
      </c>
      <c r="M18" t="n">
        <v>1</v>
      </c>
      <c r="N18" t="n">
        <v>1</v>
      </c>
      <c r="O18" s="5" t="n">
        <v>37.01</v>
      </c>
      <c r="P18" s="5">
        <f>O18*M18</f>
        <v/>
      </c>
      <c r="R18" t="inlineStr">
        <is>
          <t>http://catalog.triadmagnetics.com/Asset/VPT36-1390.pdf</t>
        </is>
      </c>
      <c r="S18" t="inlineStr"/>
    </row>
    <row r="19">
      <c r="O19" s="5" t="n"/>
      <c r="P19" s="5" t="n"/>
    </row>
    <row r="20">
      <c r="O20" s="6" t="inlineStr">
        <is>
          <t>TOTAL</t>
        </is>
      </c>
      <c r="P20" s="6">
        <f>SUM(P2:P18)</f>
        <v/>
      </c>
    </row>
    <row r="21">
      <c r="I21" s="7" t="inlineStr">
        <is>
          <t>Prices pulled 2026-06-26 10:40 (USD), 1 board(s)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2026-06-26T14:40:22Z</dcterms:created>
  <dcterms:modified xmlns:dcterms="http://purl.org/dc/terms/" xmlns:xsi="http://www.w3.org/2001/XMLSchema-instance" xsi:type="dcterms:W3CDTF">2026-06-26T14:40:36Z</dcterms:modified>
</cp:coreProperties>
</file>