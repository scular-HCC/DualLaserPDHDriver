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####;($#,##0.00####);-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4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18" customWidth="1" min="8" max="8"/>
    <col width="22" customWidth="1" min="9" max="9"/>
    <col width="12" customWidth="1" min="10" max="10"/>
    <col width="12" customWidth="1" min="11" max="11"/>
    <col width="10" customWidth="1" min="12" max="12"/>
    <col width="11" customWidth="1" min="13" max="13"/>
    <col width="12" customWidth="1" min="14" max="14"/>
    <col width="14" customWidth="1" min="15" max="15"/>
    <col width="8" customWidth="1" min="16" max="16"/>
    <col width="30" customWidth="1" min="17" max="17"/>
    <col width="26" customWidth="1" min="18" max="18"/>
  </cols>
  <sheetData>
    <row r="1">
      <c r="A1" t="inlineStr">
        <is>
          <t>Quantity</t>
        </is>
      </c>
      <c r="B1" t="inlineStr">
        <is>
          <t>Manufacturer Part Number</t>
        </is>
      </c>
      <c r="C1" t="inlineStr">
        <is>
          <t>Manufacturer</t>
        </is>
      </c>
      <c r="D1" t="inlineStr">
        <is>
          <t>Customer Reference</t>
        </is>
      </c>
      <c r="E1" t="inlineStr">
        <is>
          <t>Value</t>
        </is>
      </c>
      <c r="F1" t="inlineStr">
        <is>
          <t>Footprint</t>
        </is>
      </c>
      <c r="G1" t="inlineStr">
        <is>
          <t>Description</t>
        </is>
      </c>
      <c r="H1" s="1" t="inlineStr">
        <is>
          <t>DigiKey P/N</t>
        </is>
      </c>
      <c r="I1" s="1" t="inlineStr">
        <is>
          <t>Found Mfr</t>
        </is>
      </c>
      <c r="J1" s="1" t="inlineStr">
        <is>
          <t>Stock</t>
        </is>
      </c>
      <c r="K1" s="1" t="inlineStr">
        <is>
          <t>Status</t>
        </is>
      </c>
      <c r="L1" s="1" t="inlineStr">
        <is>
          <t>Order Qty</t>
        </is>
      </c>
      <c r="M1" s="1" t="inlineStr">
        <is>
          <t>Price Break</t>
        </is>
      </c>
      <c r="N1" s="1" t="inlineStr">
        <is>
          <t>Unit Price</t>
        </is>
      </c>
      <c r="O1" s="1" t="inlineStr">
        <is>
          <t>Extended Price</t>
        </is>
      </c>
      <c r="P1" s="1" t="inlineStr">
        <is>
          <t>MOQ</t>
        </is>
      </c>
      <c r="Q1" s="1" t="inlineStr">
        <is>
          <t>Datasheet</t>
        </is>
      </c>
      <c r="R1" s="1" t="inlineStr">
        <is>
          <t>Notes</t>
        </is>
      </c>
    </row>
    <row r="2">
      <c r="A2" t="n">
        <v>6</v>
      </c>
      <c r="B2" t="inlineStr">
        <is>
          <t>UHE1E332MHD</t>
        </is>
      </c>
      <c r="C2" t="inlineStr">
        <is>
          <t>Nichicon</t>
        </is>
      </c>
      <c r="D2" t="inlineStr">
        <is>
          <t>pm6V C34,C35,C36,C37,C38,C39</t>
        </is>
      </c>
      <c r="E2" t="inlineStr">
        <is>
          <t>3300uF 25V</t>
        </is>
      </c>
      <c r="F2" t="inlineStr">
        <is>
          <t>CP_Radial_D16.0mm_P7.5mm</t>
        </is>
      </c>
      <c r="G2" t="inlineStr">
        <is>
          <t>Al elec 3300uF 25V 105C (RAW reservoir/filter)</t>
        </is>
      </c>
      <c r="H2" t="inlineStr">
        <is>
          <t>493-1568-ND</t>
        </is>
      </c>
      <c r="I2" t="inlineStr">
        <is>
          <t>Nichicon</t>
        </is>
      </c>
      <c r="J2" t="n">
        <v>6549</v>
      </c>
      <c r="K2" t="inlineStr">
        <is>
          <t>Active</t>
        </is>
      </c>
      <c r="L2" t="n">
        <v>6</v>
      </c>
      <c r="M2" t="n">
        <v>1</v>
      </c>
      <c r="N2" s="2" t="n">
        <v>2.62</v>
      </c>
      <c r="O2" s="2">
        <f>N2*L2</f>
        <v/>
      </c>
      <c r="Q2" t="inlineStr">
        <is>
          <t>https://www.nichicon.co.jp/english/series_items/catalog_pdf/e-uhe.pdf</t>
        </is>
      </c>
    </row>
    <row r="3">
      <c r="A3" t="n">
        <v>6</v>
      </c>
      <c r="B3" t="inlineStr">
        <is>
          <t>UHE1E102MPD</t>
        </is>
      </c>
      <c r="C3" t="inlineStr">
        <is>
          <t>Nichicon</t>
        </is>
      </c>
      <c r="D3" t="inlineStr">
        <is>
          <t>pm6V C40,C41,C48,C49,C50,C51</t>
        </is>
      </c>
      <c r="E3" t="inlineStr">
        <is>
          <t>1000uF 25V</t>
        </is>
      </c>
      <c r="F3" t="inlineStr">
        <is>
          <t>CP_Radial_D12.5mm_P5.0mm</t>
        </is>
      </c>
      <c r="G3" t="inlineStr">
        <is>
          <t>Al elec 1000uF 25V 105C (output/gate filter)</t>
        </is>
      </c>
      <c r="H3" t="inlineStr">
        <is>
          <t>493-1557-ND</t>
        </is>
      </c>
      <c r="I3" t="inlineStr">
        <is>
          <t>Nichicon</t>
        </is>
      </c>
      <c r="J3" t="n">
        <v>1604</v>
      </c>
      <c r="K3" t="inlineStr">
        <is>
          <t>Active</t>
        </is>
      </c>
      <c r="L3" t="n">
        <v>6</v>
      </c>
      <c r="M3" t="n">
        <v>1</v>
      </c>
      <c r="N3" s="2" t="n">
        <v>1.34</v>
      </c>
      <c r="O3" s="2">
        <f>N3*L3</f>
        <v/>
      </c>
      <c r="Q3" t="inlineStr">
        <is>
          <t>https://www.nichicon.co.jp/english/series_items/catalog_pdf/e-uhe.pdf</t>
        </is>
      </c>
    </row>
    <row r="4">
      <c r="A4" t="n">
        <v>2</v>
      </c>
      <c r="B4" t="inlineStr">
        <is>
          <t>CL21B474KBFNNNE</t>
        </is>
      </c>
      <c r="C4" t="inlineStr">
        <is>
          <t>Samsung</t>
        </is>
      </c>
      <c r="D4" t="inlineStr">
        <is>
          <t>pm6V C42,C43</t>
        </is>
      </c>
      <c r="E4" t="inlineStr">
        <is>
          <t>470nF</t>
        </is>
      </c>
      <c r="F4" t="inlineStr">
        <is>
          <t>C_0805</t>
        </is>
      </c>
      <c r="G4" t="inlineStr">
        <is>
          <t>MLCC 0.47uF 50V X7R 0805 (gate soft-start)</t>
        </is>
      </c>
      <c r="H4" t="inlineStr">
        <is>
          <t>1276-1039-2-ND</t>
        </is>
      </c>
      <c r="I4" t="inlineStr">
        <is>
          <t>Samsung Electro-Mechanics</t>
        </is>
      </c>
      <c r="J4" t="n">
        <v>62711</v>
      </c>
      <c r="K4" t="inlineStr">
        <is>
          <t>Active</t>
        </is>
      </c>
      <c r="L4" t="n">
        <v>2</v>
      </c>
      <c r="M4" t="n">
        <v>1</v>
      </c>
      <c r="N4" s="2" t="n">
        <v>0.1</v>
      </c>
      <c r="O4" s="2">
        <f>N4*L4</f>
        <v/>
      </c>
      <c r="Q4" t="inlineStr">
        <is>
          <t>http://www.samsungsem.com/kr/support/product-search/mlcc/CL21B474KBFNNNE.jsp</t>
        </is>
      </c>
    </row>
    <row r="5">
      <c r="A5" t="n">
        <v>4</v>
      </c>
      <c r="B5" t="inlineStr">
        <is>
          <t>CL21B225KBYNNWE</t>
        </is>
      </c>
      <c r="C5" t="inlineStr">
        <is>
          <t>Samsung</t>
        </is>
      </c>
      <c r="D5" t="inlineStr">
        <is>
          <t>pm6V C44,C45,C52,C53</t>
        </is>
      </c>
      <c r="E5" t="inlineStr">
        <is>
          <t>2.2uF</t>
        </is>
      </c>
      <c r="F5" t="inlineStr">
        <is>
          <t>C_0805</t>
        </is>
      </c>
      <c r="G5" t="inlineStr">
        <is>
          <t>MLCC 2.2uF 50V X7R 0805 (bypass)</t>
        </is>
      </c>
      <c r="H5" t="inlineStr">
        <is>
          <t>1276-CL21B225KBYNNWETR-ND</t>
        </is>
      </c>
      <c r="I5" t="inlineStr">
        <is>
          <t>Samsung Electro-Mechanics</t>
        </is>
      </c>
      <c r="J5" t="n">
        <v>43157</v>
      </c>
      <c r="K5" t="inlineStr">
        <is>
          <t>Active</t>
        </is>
      </c>
      <c r="L5" t="n">
        <v>4</v>
      </c>
      <c r="M5" t="n">
        <v>1</v>
      </c>
      <c r="N5" s="2" t="n">
        <v>0.24</v>
      </c>
      <c r="O5" s="2">
        <f>N5*L5</f>
        <v/>
      </c>
      <c r="Q5" t="inlineStr">
        <is>
          <t>https://weblib.samsungsem.com/mlcc/mlcc-ec-data-sheet.do?partNumber=CL21B225KBYNNW</t>
        </is>
      </c>
    </row>
    <row r="6">
      <c r="A6" t="n">
        <v>2</v>
      </c>
      <c r="B6" t="inlineStr">
        <is>
          <t>UVZ1H222MHD</t>
        </is>
      </c>
      <c r="C6" t="inlineStr">
        <is>
          <t>Nichicon</t>
        </is>
      </c>
      <c r="D6" t="inlineStr">
        <is>
          <t>pm6V C46,C47</t>
        </is>
      </c>
      <c r="E6" t="inlineStr">
        <is>
          <t>2200uF 50V</t>
        </is>
      </c>
      <c r="F6" t="inlineStr">
        <is>
          <t>CP_Radial_D18.0mm_P7.5mm</t>
        </is>
      </c>
      <c r="G6" t="inlineStr">
        <is>
          <t>Al elec 2200uF 50V 105C (reservoir; 50V sub for 35V)</t>
        </is>
      </c>
      <c r="H6" t="inlineStr">
        <is>
          <t>493-1346-ND</t>
        </is>
      </c>
      <c r="I6" t="inlineStr">
        <is>
          <t>Nichicon</t>
        </is>
      </c>
      <c r="J6" t="n">
        <v>5467</v>
      </c>
      <c r="K6" t="inlineStr">
        <is>
          <t>Active</t>
        </is>
      </c>
      <c r="L6" t="n">
        <v>2</v>
      </c>
      <c r="M6" t="n">
        <v>1</v>
      </c>
      <c r="N6" s="2" t="n">
        <v>2.55</v>
      </c>
      <c r="O6" s="2">
        <f>N6*L6</f>
        <v/>
      </c>
      <c r="Q6" t="inlineStr">
        <is>
          <t>https://www.nichicon.co.jp/english/series_items/catalog_pdf/e-uvz.pdf</t>
        </is>
      </c>
    </row>
    <row r="7">
      <c r="A7" t="n">
        <v>4</v>
      </c>
      <c r="B7" t="inlineStr">
        <is>
          <t>1N4148W-7-F</t>
        </is>
      </c>
      <c r="C7" t="inlineStr">
        <is>
          <t>Diodes Incorporated</t>
        </is>
      </c>
      <c r="D7" t="inlineStr">
        <is>
          <t>pm6V D_CP1,D_CP2,D10,D11</t>
        </is>
      </c>
      <c r="E7" t="inlineStr">
        <is>
          <t>1N4148W</t>
        </is>
      </c>
      <c r="F7" t="inlineStr">
        <is>
          <t>D_SOD-123</t>
        </is>
      </c>
      <c r="G7" t="inlineStr">
        <is>
          <t>Diode 100V 300mA SOD-123 (Vbe tracking)</t>
        </is>
      </c>
      <c r="H7" t="inlineStr">
        <is>
          <t>1N4148W-FDITR-ND</t>
        </is>
      </c>
      <c r="I7" t="inlineStr">
        <is>
          <t>Diodes Incorporated</t>
        </is>
      </c>
      <c r="J7" t="n">
        <v>2704659</v>
      </c>
      <c r="K7" t="inlineStr">
        <is>
          <t>Active</t>
        </is>
      </c>
      <c r="L7" t="n">
        <v>4</v>
      </c>
      <c r="M7" t="n">
        <v>1</v>
      </c>
      <c r="N7" s="2" t="n">
        <v>0.17</v>
      </c>
      <c r="O7" s="2">
        <f>N7*L7</f>
        <v/>
      </c>
      <c r="Q7" t="inlineStr">
        <is>
          <t>https://www.diodes.com/assets/Datasheets/BAV16W_1N4148W.pdf</t>
        </is>
      </c>
    </row>
    <row r="8">
      <c r="A8" t="n">
        <v>1</v>
      </c>
      <c r="B8" t="inlineStr">
        <is>
          <t>GBPC1510W</t>
        </is>
      </c>
      <c r="C8" t="inlineStr">
        <is>
          <t>Surge Components</t>
        </is>
      </c>
      <c r="D8" t="inlineStr">
        <is>
          <t>pm6V D7</t>
        </is>
      </c>
      <c r="E8" t="inlineStr">
        <is>
          <t>GBPC1510</t>
        </is>
      </c>
      <c r="F8" t="inlineStr">
        <is>
          <t>Diode_Bridge_GBPC</t>
        </is>
      </c>
      <c r="G8" t="inlineStr">
        <is>
          <t>Bridge rect 15A 1000V GBPC bolt-down (same as pm22V)</t>
        </is>
      </c>
      <c r="H8" t="inlineStr">
        <is>
          <t>2616-GBPC1510W-ND</t>
        </is>
      </c>
      <c r="I8" t="inlineStr">
        <is>
          <t>SURGE</t>
        </is>
      </c>
      <c r="J8" t="n">
        <v>243</v>
      </c>
      <c r="K8" t="inlineStr">
        <is>
          <t>Active</t>
        </is>
      </c>
      <c r="L8" t="n">
        <v>1</v>
      </c>
      <c r="M8" t="n">
        <v>1</v>
      </c>
      <c r="N8" s="2" t="n">
        <v>2.24</v>
      </c>
      <c r="O8" s="2">
        <f>N8*L8</f>
        <v/>
      </c>
      <c r="Q8" t="inlineStr">
        <is>
          <t>//mm.digikey.com/Volume0/opasdata/d220001/medias/docus/3003/GBPC15.pdf</t>
        </is>
      </c>
      <c r="R8" t="inlineStr">
        <is>
          <t>APPROX MATCH -&gt; GBPC1510W (verify)</t>
        </is>
      </c>
    </row>
    <row r="9">
      <c r="A9" t="n">
        <v>2</v>
      </c>
      <c r="B9" t="inlineStr">
        <is>
          <t>1N4742ATR</t>
        </is>
      </c>
      <c r="C9" t="inlineStr">
        <is>
          <t>onsemi</t>
        </is>
      </c>
      <c r="D9" t="inlineStr">
        <is>
          <t>pm6V D8,D9</t>
        </is>
      </c>
      <c r="E9" t="inlineStr">
        <is>
          <t>1N4742A</t>
        </is>
      </c>
      <c r="F9" t="inlineStr">
        <is>
          <t>D_DO-41</t>
        </is>
      </c>
      <c r="G9" t="inlineStr">
        <is>
          <t>Zener 12V 1W DO-41 (Vgs clamp)</t>
        </is>
      </c>
      <c r="H9" t="inlineStr">
        <is>
          <t>1N4742AFSTR-ND</t>
        </is>
      </c>
      <c r="I9" t="inlineStr">
        <is>
          <t>onsemi</t>
        </is>
      </c>
      <c r="J9" t="n">
        <v>85646</v>
      </c>
      <c r="K9" t="inlineStr">
        <is>
          <t>Active</t>
        </is>
      </c>
      <c r="L9" t="n">
        <v>2</v>
      </c>
      <c r="M9" t="n">
        <v>1</v>
      </c>
      <c r="N9" s="2" t="n">
        <v>0.28</v>
      </c>
      <c r="O9" s="2">
        <f>N9*L9</f>
        <v/>
      </c>
      <c r="Q9" t="inlineStr">
        <is>
          <t>https://www.onsemi.com/pdf/datasheet/1n4736at-d.pdf</t>
        </is>
      </c>
    </row>
    <row r="10">
      <c r="A10" t="n">
        <v>1</v>
      </c>
      <c r="B10" t="inlineStr">
        <is>
          <t>6223BG</t>
        </is>
      </c>
      <c r="C10" t="inlineStr">
        <is>
          <t>Boyd</t>
        </is>
      </c>
      <c r="D10" t="inlineStr">
        <is>
          <t>pm6V HS1</t>
        </is>
      </c>
      <c r="E10" t="inlineStr">
        <is>
          <t>Heatsink GBPC</t>
        </is>
      </c>
      <c r="F10" t="inlineStr">
        <is>
          <t>Bridge_GBPC_Heatsink</t>
        </is>
      </c>
      <c r="G10" t="inlineStr">
        <is>
          <t>Heatsink for GBPC bridge (same as pm22V HS3)</t>
        </is>
      </c>
      <c r="H10" t="inlineStr">
        <is>
          <t>6223BG-ND</t>
        </is>
      </c>
      <c r="I10" t="inlineStr">
        <is>
          <t>Boyd Laconia, LLC</t>
        </is>
      </c>
      <c r="J10" t="n">
        <v>2212</v>
      </c>
      <c r="K10" t="inlineStr">
        <is>
          <t>Active</t>
        </is>
      </c>
      <c r="L10" t="n">
        <v>1</v>
      </c>
      <c r="M10" t="n">
        <v>1</v>
      </c>
      <c r="N10" s="2" t="n">
        <v>9.16</v>
      </c>
      <c r="O10" s="2">
        <f>N10*L10</f>
        <v/>
      </c>
      <c r="Q10" t="inlineStr">
        <is>
          <t>https://info.boydcorp.com/hubfs/Thermal/Air-Cooling/Boyd-Board-Level-Heatsinks-Catalog.pdf</t>
        </is>
      </c>
    </row>
    <row r="11">
      <c r="A11" t="n">
        <v>2</v>
      </c>
      <c r="B11" t="inlineStr">
        <is>
          <t>531102B02500G</t>
        </is>
      </c>
      <c r="C11" t="inlineStr">
        <is>
          <t>Boyd</t>
        </is>
      </c>
      <c r="D11" t="inlineStr">
        <is>
          <t>pm6V HS2,HS3</t>
        </is>
      </c>
      <c r="E11" t="inlineStr">
        <is>
          <t>Heatsink TO-220</t>
        </is>
      </c>
      <c r="F11" t="inlineStr">
        <is>
          <t>Heatsink_H38.1mm</t>
        </is>
      </c>
      <c r="G11" t="inlineStr">
        <is>
          <t>Heatsink TO-220 board-mount H38.1mm (Q3/Q4; same as pm22V)</t>
        </is>
      </c>
      <c r="H11" t="inlineStr">
        <is>
          <t>HS352-ND</t>
        </is>
      </c>
      <c r="I11" t="inlineStr">
        <is>
          <t>Boyd Laconia, LLC</t>
        </is>
      </c>
      <c r="J11" t="n">
        <v>19147</v>
      </c>
      <c r="K11" t="inlineStr">
        <is>
          <t>Active</t>
        </is>
      </c>
      <c r="L11" t="n">
        <v>2</v>
      </c>
      <c r="M11" t="n">
        <v>1</v>
      </c>
      <c r="N11" s="2" t="n">
        <v>2.12</v>
      </c>
      <c r="O11" s="2">
        <f>N11*L11</f>
        <v/>
      </c>
      <c r="Q11" t="inlineStr">
        <is>
          <t>https://info.boydcorp.com/hubfs/Thermal/Air-Cooling/Boyd-Board-Level-Heatsinks-Catalog.pdf</t>
        </is>
      </c>
    </row>
    <row r="12">
      <c r="A12" t="n">
        <v>4</v>
      </c>
      <c r="B12" t="inlineStr">
        <is>
          <t>657-10ABPE</t>
        </is>
      </c>
      <c r="C12" t="inlineStr">
        <is>
          <t>Wakefield Thermal Solutions</t>
        </is>
      </c>
      <c r="D12" t="inlineStr">
        <is>
          <t>pm6V HS4,HS5,HS6,HS7</t>
        </is>
      </c>
      <c r="E12" t="inlineStr">
        <is>
          <t>Heatsink TO-264 [REPLACE-DOES NOT FIT]</t>
        </is>
      </c>
      <c r="F12" t="inlineStr">
        <is>
          <t>TO-264-3_Vertical_HS657</t>
        </is>
      </c>
      <c r="G12" t="inlineStr">
        <is>
          <t>*** DOES NOT FIT TO-264 (channel ~16mm &lt; 20mm device) *** REPLACE with clip-on OMNI-UNI-PF-38 + OMNI-UC clip (Wakefield-Vette, DK 345-1600-ND / 345-1493-ND); clip mount leaves the 25.4mm pin holes unused. Trialing before permanent change.</t>
        </is>
      </c>
      <c r="H12" t="inlineStr">
        <is>
          <t>657-10ABPE-ND</t>
        </is>
      </c>
      <c r="I12" t="inlineStr">
        <is>
          <t>Wakefield Thermal Solutions</t>
        </is>
      </c>
      <c r="J12" t="n">
        <v>1986</v>
      </c>
      <c r="K12" t="inlineStr">
        <is>
          <t>Active</t>
        </is>
      </c>
      <c r="L12" t="n">
        <v>4</v>
      </c>
      <c r="M12" t="n">
        <v>1</v>
      </c>
      <c r="N12" s="2" t="n">
        <v>2.49</v>
      </c>
      <c r="O12" s="2">
        <f>N12*L12</f>
        <v/>
      </c>
      <c r="Q12" t="inlineStr">
        <is>
          <t>//mm.digikey.com/Volume0/opasdata/d220001/medias/docus/1883/Wakefield-657-15ABPE-datasheet.pdf</t>
        </is>
      </c>
      <c r="R12" t="inlineStr">
        <is>
          <t>DOES NOT FIT TO-264 - replace w/ OMNI-UNI-PF-38 + OMNI-UC (trial)</t>
        </is>
      </c>
    </row>
    <row r="13">
      <c r="A13" t="n">
        <v>2</v>
      </c>
      <c r="B13" t="inlineStr">
        <is>
          <t>4880G</t>
        </is>
      </c>
      <c r="C13" t="inlineStr">
        <is>
          <t>Boyd</t>
        </is>
      </c>
      <c r="D13" t="inlineStr">
        <is>
          <t>pm6V Q3,Q4 (TO-220 iso)</t>
        </is>
      </c>
      <c r="E13" t="inlineStr">
        <is>
          <t>TO-220 mount kit</t>
        </is>
      </c>
      <c r="F13" t="inlineStr">
        <is>
          <t>Hardware (off-PCB)</t>
        </is>
      </c>
      <c r="G13" t="inlineStr">
        <is>
          <t>Insulator+shoulder washer kit; isolates FET tab from heatsink</t>
        </is>
      </c>
      <c r="H13" t="inlineStr">
        <is>
          <t>HS417-ND</t>
        </is>
      </c>
      <c r="I13" t="inlineStr">
        <is>
          <t>Boyd Laconia, LLC</t>
        </is>
      </c>
      <c r="J13" t="n">
        <v>24232</v>
      </c>
      <c r="K13" t="inlineStr">
        <is>
          <t>Active</t>
        </is>
      </c>
      <c r="L13" t="n">
        <v>2</v>
      </c>
      <c r="M13" t="n">
        <v>1</v>
      </c>
      <c r="N13" s="2" t="n">
        <v>1.23</v>
      </c>
      <c r="O13" s="2">
        <f>N13*L13</f>
        <v/>
      </c>
      <c r="Q13" t="inlineStr">
        <is>
          <t>https://info.boydcorp.com/hubfs/Thermal/Air-Cooling/Boyd-Board-Level-Heatsinks-Catalog.pdf</t>
        </is>
      </c>
    </row>
    <row r="14">
      <c r="A14" t="n">
        <v>4</v>
      </c>
      <c r="B14" t="inlineStr">
        <is>
          <t>WTI7R1F0-1.00X0.75</t>
        </is>
      </c>
      <c r="C14" t="inlineStr">
        <is>
          <t>Wakefield Thermal Solutions</t>
        </is>
      </c>
      <c r="D14" t="inlineStr">
        <is>
          <t>pm6V Q7-Q10 (TO-264 iso)</t>
        </is>
      </c>
      <c r="E14" t="inlineStr">
        <is>
          <t>Thermal pad 25.4x19.05mm</t>
        </is>
      </c>
      <c r="F14" t="inlineStr">
        <is>
          <t>Hardware (off-PCB)</t>
        </is>
      </c>
      <c r="G14" t="inlineStr">
        <is>
          <t>Insulating thermal pad; isolates TO-264 tab from 657 heatsink</t>
        </is>
      </c>
      <c r="H14" t="inlineStr">
        <is>
          <t>345-WTI7R1F0-1.00X0.75-ND</t>
        </is>
      </c>
      <c r="I14" t="inlineStr">
        <is>
          <t>Wakefield Thermal Solutions</t>
        </is>
      </c>
      <c r="J14" t="n">
        <v>4927</v>
      </c>
      <c r="K14" t="inlineStr">
        <is>
          <t>Active</t>
        </is>
      </c>
      <c r="L14" t="n">
        <v>4</v>
      </c>
      <c r="M14" t="n">
        <v>1</v>
      </c>
      <c r="N14" s="2" t="n">
        <v>0.66</v>
      </c>
      <c r="O14" s="2">
        <f>N14*L14</f>
        <v/>
      </c>
      <c r="Q14" t="inlineStr">
        <is>
          <t>//mm.digikey.com/Volume0/opasdata/d220001/medias/docus/7343/Wakefield_Thermal%20Insulators%20Catalog_9-15-2025.pdf</t>
        </is>
      </c>
    </row>
    <row r="15">
      <c r="A15" t="n">
        <v>4</v>
      </c>
      <c r="B15" t="inlineStr">
        <is>
          <t>7721-7PPSG</t>
        </is>
      </c>
      <c r="C15" t="inlineStr">
        <is>
          <t>Boyd</t>
        </is>
      </c>
      <c r="D15" t="inlineStr">
        <is>
          <t>pm6V Q7-Q10 (TO-264 iso)</t>
        </is>
      </c>
      <c r="E15" t="inlineStr">
        <is>
          <t>#4 shoulder washer</t>
        </is>
      </c>
      <c r="F15" t="inlineStr">
        <is>
          <t>Hardware (off-PCB)</t>
        </is>
      </c>
      <c r="G15" t="inlineStr">
        <is>
          <t>Nylon/poly shoulder washer; isolates M3/#4 mount bolt from tab</t>
        </is>
      </c>
      <c r="H15" t="inlineStr">
        <is>
          <t>HS418-ND</t>
        </is>
      </c>
      <c r="I15" t="inlineStr">
        <is>
          <t>Boyd Laconia, LLC</t>
        </is>
      </c>
      <c r="J15" t="n">
        <v>67659</v>
      </c>
      <c r="K15" t="inlineStr">
        <is>
          <t>Active</t>
        </is>
      </c>
      <c r="L15" t="n">
        <v>4</v>
      </c>
      <c r="M15" t="n">
        <v>1</v>
      </c>
      <c r="N15" s="2" t="n">
        <v>0.2</v>
      </c>
      <c r="O15" s="2">
        <f>N15*L15</f>
        <v/>
      </c>
      <c r="Q15" t="inlineStr">
        <is>
          <t>https://info.boydcorp.com/hubfs/Thermal/Air-Cooling/Boyd-Board-Level-Heatsinks-Catalog.pdf</t>
        </is>
      </c>
    </row>
    <row r="16">
      <c r="A16" t="n">
        <v>1</v>
      </c>
      <c r="B16" t="inlineStr">
        <is>
          <t>TG-A3500-30-30-0.5</t>
        </is>
      </c>
      <c r="C16" t="inlineStr">
        <is>
          <t>t-Global</t>
        </is>
      </c>
      <c r="D16" t="inlineStr">
        <is>
          <t>pm6V D7/HS1 (thermal)</t>
        </is>
      </c>
      <c r="E16" t="inlineStr">
        <is>
          <t>30x30x0.5mm pad</t>
        </is>
      </c>
      <c r="F16" t="inlineStr">
        <is>
          <t>Hardware (off-PCB)</t>
        </is>
      </c>
      <c r="G16" t="inlineStr">
        <is>
          <t>Thermal pad 30x30x0.5mm GBPC bridge to HS1</t>
        </is>
      </c>
      <c r="H16" t="inlineStr">
        <is>
          <t>1168-TG-A3500-30-30-0.5-ND</t>
        </is>
      </c>
      <c r="I16" t="inlineStr">
        <is>
          <t>t-Global Technology</t>
        </is>
      </c>
      <c r="J16" t="n">
        <v>2007</v>
      </c>
      <c r="K16" t="inlineStr">
        <is>
          <t>Active</t>
        </is>
      </c>
      <c r="L16" t="n">
        <v>1</v>
      </c>
      <c r="M16" t="n">
        <v>1</v>
      </c>
      <c r="N16" s="2" t="n">
        <v>0.5</v>
      </c>
      <c r="O16" s="2">
        <f>N16*L16</f>
        <v/>
      </c>
      <c r="Q16" t="inlineStr">
        <is>
          <t>https://www.tglobaltechnology.com/wp-content/uploads/2023/08/TG-A3500_UK.pdf</t>
        </is>
      </c>
    </row>
    <row r="17">
      <c r="A17" t="n">
        <v>1</v>
      </c>
      <c r="B17" t="inlineStr">
        <is>
          <t>1729131</t>
        </is>
      </c>
      <c r="C17" t="inlineStr">
        <is>
          <t>Phoenix Contact</t>
        </is>
      </c>
      <c r="D17" t="inlineStr">
        <is>
          <t>pm6V J4</t>
        </is>
      </c>
      <c r="E17" t="inlineStr">
        <is>
          <t>MKDS 1,5/3-5,08</t>
        </is>
      </c>
      <c r="F17" t="inlineStr">
        <is>
          <t>TerminalBlock_MKDS_3_P5.08mm</t>
        </is>
      </c>
      <c r="G17" t="inlineStr">
        <is>
          <t>Single-piece PCB screw terminal 3pos 5.08mm (+/-9Vac in)</t>
        </is>
      </c>
      <c r="H17" t="inlineStr">
        <is>
          <t>277-1248-ND</t>
        </is>
      </c>
      <c r="I17" t="inlineStr">
        <is>
          <t>Phoenix Contact</t>
        </is>
      </c>
      <c r="J17" t="n">
        <v>13890</v>
      </c>
      <c r="K17" t="inlineStr">
        <is>
          <t>Active</t>
        </is>
      </c>
      <c r="L17" t="n">
        <v>1</v>
      </c>
      <c r="M17" t="n">
        <v>1</v>
      </c>
      <c r="N17" s="2" t="n">
        <v>1.44</v>
      </c>
      <c r="O17" s="2">
        <f>N17*L17</f>
        <v/>
      </c>
      <c r="Q17" t="inlineStr">
        <is>
          <t>//mm.digikey.com/Volume0/opasdata/d220001/medias/docus/5784/MKDSN%201%2C5_%203-5%2C08.pdf</t>
        </is>
      </c>
    </row>
    <row r="18">
      <c r="A18" t="n">
        <v>1</v>
      </c>
      <c r="B18" t="inlineStr">
        <is>
          <t>374144-E</t>
        </is>
      </c>
      <c r="C18" t="inlineStr">
        <is>
          <t>TE Connectivity</t>
        </is>
      </c>
      <c r="D18" t="inlineStr">
        <is>
          <t>pm6V J6</t>
        </is>
      </c>
      <c r="E18" t="inlineStr">
        <is>
          <t>DIN41612 M 3x8+8</t>
        </is>
      </c>
      <c r="F18" t="inlineStr">
        <is>
          <t>DIN41612_M_Power_Male</t>
        </is>
      </c>
      <c r="G18" t="inlineStr">
        <is>
          <t>DIN41612 Type M 24sig+8pwr R/A male (same as pm22V)</t>
        </is>
      </c>
      <c r="H18" t="inlineStr">
        <is>
          <t>2684-374144-E-ND</t>
        </is>
      </c>
      <c r="I18" t="inlineStr">
        <is>
          <t>TE Connectivity Erni</t>
        </is>
      </c>
      <c r="J18" t="n">
        <v>0</v>
      </c>
      <c r="K18" t="inlineStr">
        <is>
          <t>Active</t>
        </is>
      </c>
      <c r="L18" t="n">
        <v>1</v>
      </c>
      <c r="M18" t="n">
        <v>1</v>
      </c>
      <c r="N18" s="2" t="n">
        <v>10.31</v>
      </c>
      <c r="O18" s="2">
        <f>N18*L18</f>
        <v/>
      </c>
      <c r="Q18" t="inlineStr">
        <is>
          <t>https://www.erni.com/fileadmin/import/products/assets/DC0006731.PDF</t>
        </is>
      </c>
      <c r="R18" t="inlineStr">
        <is>
          <t>LOW STOCK (0 &lt; 1)</t>
        </is>
      </c>
    </row>
    <row r="19">
      <c r="A19" t="n">
        <v>1</v>
      </c>
      <c r="B19" t="inlineStr">
        <is>
          <t>IRF540ZPBF</t>
        </is>
      </c>
      <c r="C19" t="inlineStr">
        <is>
          <t>Infineon</t>
        </is>
      </c>
      <c r="D19" t="inlineStr">
        <is>
          <t>pm6V Q3</t>
        </is>
      </c>
      <c r="E19" t="inlineStr">
        <is>
          <t>IRF540Z</t>
        </is>
      </c>
      <c r="F19" t="inlineStr">
        <is>
          <t>TO-220-3</t>
        </is>
      </c>
      <c r="G19" t="inlineStr">
        <is>
          <t>N-MOSFET 100V 36A TO-220 (pos pre-reg pass; IRF540N replacement)</t>
        </is>
      </c>
      <c r="H19" t="inlineStr">
        <is>
          <t>IRF540ZPBF-ND</t>
        </is>
      </c>
      <c r="I19" t="inlineStr">
        <is>
          <t>Infineon Technologies</t>
        </is>
      </c>
      <c r="J19" t="n">
        <v>49233</v>
      </c>
      <c r="K19" t="inlineStr">
        <is>
          <t>Active</t>
        </is>
      </c>
      <c r="L19" t="n">
        <v>1</v>
      </c>
      <c r="M19" t="n">
        <v>1</v>
      </c>
      <c r="N19" s="2" t="n">
        <v>2.34</v>
      </c>
      <c r="O19" s="2">
        <f>N19*L19</f>
        <v/>
      </c>
      <c r="Q19" t="inlineStr">
        <is>
          <t>https://www.infineon.com/dgdl/irf540zpbf.pdf?fileId=5546d462533600a4015355e3af7d19a6</t>
        </is>
      </c>
    </row>
    <row r="20">
      <c r="A20" t="n">
        <v>1</v>
      </c>
      <c r="B20" t="inlineStr">
        <is>
          <t>IRF9540NPBF</t>
        </is>
      </c>
      <c r="C20" t="inlineStr">
        <is>
          <t>Infineon</t>
        </is>
      </c>
      <c r="D20" t="inlineStr">
        <is>
          <t>pm6V Q4</t>
        </is>
      </c>
      <c r="E20" t="inlineStr">
        <is>
          <t>IRF9540N</t>
        </is>
      </c>
      <c r="F20" t="inlineStr">
        <is>
          <t>TO-220-3</t>
        </is>
      </c>
      <c r="G20" t="inlineStr">
        <is>
          <t>P-MOSFET -100V TO-220 (neg pre-reg pass)</t>
        </is>
      </c>
      <c r="H20" t="inlineStr">
        <is>
          <t>IRF9540NPBF-ND</t>
        </is>
      </c>
      <c r="I20" t="inlineStr">
        <is>
          <t>Infineon Technologies</t>
        </is>
      </c>
      <c r="J20" t="n">
        <v>11781</v>
      </c>
      <c r="K20" t="inlineStr">
        <is>
          <t>Active</t>
        </is>
      </c>
      <c r="L20" t="n">
        <v>1</v>
      </c>
      <c r="M20" t="n">
        <v>1</v>
      </c>
      <c r="N20" s="2" t="n">
        <v>2.75</v>
      </c>
      <c r="O20" s="2">
        <f>N20*L20</f>
        <v/>
      </c>
      <c r="Q20" t="inlineStr">
        <is>
          <t>https://www.infineon.com/assets/row/public/documents/24/49/infineon-irf9540n-datasheet-en.pdf</t>
        </is>
      </c>
    </row>
    <row r="21">
      <c r="A21" t="n">
        <v>1</v>
      </c>
      <c r="B21" t="inlineStr">
        <is>
          <t>MMBT2907A-TP</t>
        </is>
      </c>
      <c r="C21" t="inlineStr">
        <is>
          <t>MCC</t>
        </is>
      </c>
      <c r="D21" t="inlineStr">
        <is>
          <t>pm6V Q5</t>
        </is>
      </c>
      <c r="E21" t="inlineStr">
        <is>
          <t>MMBT2907A</t>
        </is>
      </c>
      <c r="F21" t="inlineStr">
        <is>
          <t>SOT-23</t>
        </is>
      </c>
      <c r="G21" t="inlineStr">
        <is>
          <t>PNP 60V 0.6A SOT-23 (neg rail driver)</t>
        </is>
      </c>
      <c r="H21" t="inlineStr">
        <is>
          <t>MMBT2907A-TPMSTR-ND</t>
        </is>
      </c>
      <c r="I21" t="inlineStr">
        <is>
          <t>MCC (Micro Commercial Components)</t>
        </is>
      </c>
      <c r="J21" t="n">
        <v>245269</v>
      </c>
      <c r="K21" t="inlineStr">
        <is>
          <t>Active</t>
        </is>
      </c>
      <c r="L21" t="n">
        <v>1</v>
      </c>
      <c r="M21" t="n">
        <v>1</v>
      </c>
      <c r="N21" s="2" t="n">
        <v>0.12</v>
      </c>
      <c r="O21" s="2">
        <f>N21*L21</f>
        <v/>
      </c>
      <c r="Q21" t="inlineStr">
        <is>
          <t>https://www.mccsemi.com/pdf/Products/MMBT2907A(SOT-23).pdf</t>
        </is>
      </c>
    </row>
    <row r="22">
      <c r="A22" t="n">
        <v>1</v>
      </c>
      <c r="B22" t="inlineStr">
        <is>
          <t>MMBT2222ALT1G</t>
        </is>
      </c>
      <c r="C22" t="inlineStr">
        <is>
          <t>onsemi</t>
        </is>
      </c>
      <c r="D22" t="inlineStr">
        <is>
          <t>pm6V Q6</t>
        </is>
      </c>
      <c r="E22" t="inlineStr">
        <is>
          <t>MMBT2222A</t>
        </is>
      </c>
      <c r="F22" t="inlineStr">
        <is>
          <t>SOT-23</t>
        </is>
      </c>
      <c r="G22" t="inlineStr">
        <is>
          <t>NPN 40V 0.6A SOT-23 (pos rail driver)</t>
        </is>
      </c>
      <c r="H22" t="inlineStr">
        <is>
          <t>MMBT2222ALT1GOSTR-ND</t>
        </is>
      </c>
      <c r="I22" t="inlineStr">
        <is>
          <t>onsemi</t>
        </is>
      </c>
      <c r="J22" t="n">
        <v>31839</v>
      </c>
      <c r="K22" t="inlineStr">
        <is>
          <t>Active</t>
        </is>
      </c>
      <c r="L22" t="n">
        <v>1</v>
      </c>
      <c r="M22" t="n">
        <v>1</v>
      </c>
      <c r="N22" s="2" t="n">
        <v>0.15</v>
      </c>
      <c r="O22" s="2">
        <f>N22*L22</f>
        <v/>
      </c>
      <c r="Q22" t="inlineStr">
        <is>
          <t>https://www.onsemi.com/pdf/datasheet/mmbt2222lt1-d.pdf</t>
        </is>
      </c>
    </row>
    <row r="23">
      <c r="A23" t="n">
        <v>2</v>
      </c>
      <c r="B23" t="inlineStr">
        <is>
          <t>MJL21193G</t>
        </is>
      </c>
      <c r="C23" t="inlineStr">
        <is>
          <t>onsemi</t>
        </is>
      </c>
      <c r="D23" t="inlineStr">
        <is>
          <t>pm6V Q7,Q8</t>
        </is>
      </c>
      <c r="E23" t="inlineStr">
        <is>
          <t>MJL21193</t>
        </is>
      </c>
      <c r="F23" t="inlineStr">
        <is>
          <t>TO-264</t>
        </is>
      </c>
      <c r="G23" t="inlineStr">
        <is>
          <t>PNP 250V 16A TO-264 (neg output pass)</t>
        </is>
      </c>
      <c r="H23" t="inlineStr">
        <is>
          <t>MJL21193GOS-ND</t>
        </is>
      </c>
      <c r="I23" t="inlineStr">
        <is>
          <t>onsemi</t>
        </is>
      </c>
      <c r="J23" t="n">
        <v>2008</v>
      </c>
      <c r="K23" t="inlineStr">
        <is>
          <t>Active</t>
        </is>
      </c>
      <c r="L23" t="n">
        <v>2</v>
      </c>
      <c r="M23" t="n">
        <v>1</v>
      </c>
      <c r="N23" s="2" t="n">
        <v>7.03</v>
      </c>
      <c r="O23" s="2">
        <f>N23*L23</f>
        <v/>
      </c>
      <c r="Q23" t="inlineStr">
        <is>
          <t>https://www.onsemi.com/pdf/datasheet/mjl21193-d.pdf</t>
        </is>
      </c>
    </row>
    <row r="24">
      <c r="A24" t="n">
        <v>2</v>
      </c>
      <c r="B24" t="inlineStr">
        <is>
          <t>MJL21194G</t>
        </is>
      </c>
      <c r="C24" t="inlineStr">
        <is>
          <t>onsemi</t>
        </is>
      </c>
      <c r="D24" t="inlineStr">
        <is>
          <t>pm6V Q9,Q10</t>
        </is>
      </c>
      <c r="E24" t="inlineStr">
        <is>
          <t>MJL21194</t>
        </is>
      </c>
      <c r="F24" t="inlineStr">
        <is>
          <t>TO-264</t>
        </is>
      </c>
      <c r="G24" t="inlineStr">
        <is>
          <t>NPN 250V 16A TO-264 (pos output pass)</t>
        </is>
      </c>
      <c r="H24" t="inlineStr">
        <is>
          <t>MJL21194GOS-ND</t>
        </is>
      </c>
      <c r="I24" t="inlineStr">
        <is>
          <t>onsemi</t>
        </is>
      </c>
      <c r="J24" t="n">
        <v>207</v>
      </c>
      <c r="K24" t="inlineStr">
        <is>
          <t>Active</t>
        </is>
      </c>
      <c r="L24" t="n">
        <v>2</v>
      </c>
      <c r="M24" t="n">
        <v>1</v>
      </c>
      <c r="N24" s="2" t="n">
        <v>7.04</v>
      </c>
      <c r="O24" s="2">
        <f>N24*L24</f>
        <v/>
      </c>
      <c r="Q24" t="inlineStr">
        <is>
          <t>https://www.onsemi.com/pdf/datasheet/mjl21193-d.pdf</t>
        </is>
      </c>
    </row>
    <row r="25">
      <c r="A25" t="n">
        <v>2</v>
      </c>
      <c r="B25" t="inlineStr">
        <is>
          <t>TUW15J15RE</t>
        </is>
      </c>
      <c r="C25" t="inlineStr">
        <is>
          <t>Ohmite</t>
        </is>
      </c>
      <c r="D25" t="inlineStr">
        <is>
          <t>pm6V R20,R21</t>
        </is>
      </c>
      <c r="E25" t="inlineStr">
        <is>
          <t>15R 15W</t>
        </is>
      </c>
      <c r="F25" t="inlineStr">
        <is>
          <t>R_Axial_Power_P45.72mm</t>
        </is>
      </c>
      <c r="G25" t="inlineStr">
        <is>
          <t>WW 15ohm 15W axial (soft-start; same as pm22V)</t>
        </is>
      </c>
      <c r="H25" t="inlineStr">
        <is>
          <t>TUW15J15RE-ND</t>
        </is>
      </c>
      <c r="I25" t="inlineStr">
        <is>
          <t>Ohmite</t>
        </is>
      </c>
      <c r="J25" t="n">
        <v>3812</v>
      </c>
      <c r="K25" t="inlineStr">
        <is>
          <t>Active</t>
        </is>
      </c>
      <c r="L25" t="n">
        <v>2</v>
      </c>
      <c r="M25" t="n">
        <v>1</v>
      </c>
      <c r="N25" s="2" t="n">
        <v>2.07</v>
      </c>
      <c r="O25" s="2">
        <f>N25*L25</f>
        <v/>
      </c>
      <c r="Q25" t="inlineStr">
        <is>
          <t>https://www.ohmite.com/assets/images/res-tuw-tum.pdf</t>
        </is>
      </c>
    </row>
    <row r="26">
      <c r="A26" t="n">
        <v>2</v>
      </c>
      <c r="B26" t="inlineStr">
        <is>
          <t>RC0805FR-07100KL</t>
        </is>
      </c>
      <c r="C26" t="inlineStr">
        <is>
          <t>YAGEO</t>
        </is>
      </c>
      <c r="D26" t="inlineStr">
        <is>
          <t>pm6V R22,R23</t>
        </is>
      </c>
      <c r="E26" t="inlineStr">
        <is>
          <t>100k</t>
        </is>
      </c>
      <c r="F26" t="inlineStr">
        <is>
          <t>R_0805</t>
        </is>
      </c>
      <c r="G26" t="inlineStr">
        <is>
          <t>Res 100k 1% 1/8W 0805 (FET gate pull)</t>
        </is>
      </c>
      <c r="H26" t="inlineStr">
        <is>
          <t>311-100KCRTR-ND</t>
        </is>
      </c>
      <c r="I26" t="inlineStr">
        <is>
          <t>YAGEO</t>
        </is>
      </c>
      <c r="J26" t="n">
        <v>557538</v>
      </c>
      <c r="K26" t="inlineStr">
        <is>
          <t>Active</t>
        </is>
      </c>
      <c r="L26" t="n">
        <v>2</v>
      </c>
      <c r="M26" t="n">
        <v>1</v>
      </c>
      <c r="N26" s="2" t="n">
        <v>0.1</v>
      </c>
      <c r="O26" s="2">
        <f>N26*L26</f>
        <v/>
      </c>
      <c r="Q26" t="inlineStr">
        <is>
          <t>https://yageogroup.com/content/datasheet/asset/file/PYU-RC_GROUP_51_ROHS_L</t>
        </is>
      </c>
    </row>
    <row r="27">
      <c r="A27" t="n">
        <v>2</v>
      </c>
      <c r="B27" t="inlineStr">
        <is>
          <t>RC0805FR-0715KL</t>
        </is>
      </c>
      <c r="C27" t="inlineStr">
        <is>
          <t>YAGEO</t>
        </is>
      </c>
      <c r="D27" t="inlineStr">
        <is>
          <t>pm6V R25,R30</t>
        </is>
      </c>
      <c r="E27" t="inlineStr">
        <is>
          <t>15k</t>
        </is>
      </c>
      <c r="F27" t="inlineStr">
        <is>
          <t>R_0805</t>
        </is>
      </c>
      <c r="G27" t="inlineStr">
        <is>
          <t>Res 15k 1% 1/8W 0805 (ref divider)</t>
        </is>
      </c>
      <c r="H27" t="inlineStr">
        <is>
          <t>311-15.0KCRTR-ND</t>
        </is>
      </c>
      <c r="I27" t="inlineStr">
        <is>
          <t>YAGEO</t>
        </is>
      </c>
      <c r="J27" t="n">
        <v>227630</v>
      </c>
      <c r="K27" t="inlineStr">
        <is>
          <t>Active</t>
        </is>
      </c>
      <c r="L27" t="n">
        <v>2</v>
      </c>
      <c r="M27" t="n">
        <v>1</v>
      </c>
      <c r="N27" s="2" t="n">
        <v>0.1</v>
      </c>
      <c r="O27" s="2">
        <f>N27*L27</f>
        <v/>
      </c>
      <c r="Q27" t="inlineStr">
        <is>
          <t>https://yageogroup.com/content/datasheet/asset/file/PYU-RC_GROUP_51_ROHS_L</t>
        </is>
      </c>
    </row>
    <row r="28">
      <c r="A28" t="n">
        <v>2</v>
      </c>
      <c r="B28" t="inlineStr">
        <is>
          <t>ERJ-6ENF6042V</t>
        </is>
      </c>
      <c r="C28" t="inlineStr">
        <is>
          <t>Panasonic</t>
        </is>
      </c>
      <c r="D28" t="inlineStr">
        <is>
          <t>pm6V R24,R31</t>
        </is>
      </c>
      <c r="E28" t="inlineStr">
        <is>
          <t>60.4k</t>
        </is>
      </c>
      <c r="F28" t="inlineStr">
        <is>
          <t>R_0805</t>
        </is>
      </c>
      <c r="G28" t="inlineStr">
        <is>
          <t>Res 60.4k 1% 1/8W 0805 (ref divider)</t>
        </is>
      </c>
      <c r="H28" t="inlineStr">
        <is>
          <t>P60.4KCTR-ND</t>
        </is>
      </c>
      <c r="I28" t="inlineStr">
        <is>
          <t>Panasonic Industry</t>
        </is>
      </c>
      <c r="J28" t="n">
        <v>58257</v>
      </c>
      <c r="K28" t="inlineStr">
        <is>
          <t>Active</t>
        </is>
      </c>
      <c r="L28" t="n">
        <v>2</v>
      </c>
      <c r="M28" t="n">
        <v>1</v>
      </c>
      <c r="N28" s="2" t="n">
        <v>0.12</v>
      </c>
      <c r="O28" s="2">
        <f>N28*L28</f>
        <v/>
      </c>
      <c r="Q28" t="inlineStr">
        <is>
          <t>https://industrial.panasonic.com/cdbs/www-data/pdf/RDA0000/AOA0000C304.pdf</t>
        </is>
      </c>
    </row>
    <row r="29">
      <c r="A29" t="n">
        <v>2</v>
      </c>
      <c r="B29" t="inlineStr">
        <is>
          <t>RC0805FR-071ML</t>
        </is>
      </c>
      <c r="C29" t="inlineStr">
        <is>
          <t>YAGEO</t>
        </is>
      </c>
      <c r="D29" t="inlineStr">
        <is>
          <t>pm6V R26,R27</t>
        </is>
      </c>
      <c r="E29" t="inlineStr">
        <is>
          <t>1M</t>
        </is>
      </c>
      <c r="F29" t="inlineStr">
        <is>
          <t>R_0805</t>
        </is>
      </c>
      <c r="G29" t="inlineStr">
        <is>
          <t>Res 1M 1% 1/8W 0805 (FET gate bleed)</t>
        </is>
      </c>
      <c r="H29" t="inlineStr">
        <is>
          <t>311-1.00MCRTR-ND</t>
        </is>
      </c>
      <c r="I29" t="inlineStr">
        <is>
          <t>YAGEO</t>
        </is>
      </c>
      <c r="J29" t="n">
        <v>227069</v>
      </c>
      <c r="K29" t="inlineStr">
        <is>
          <t>Active</t>
        </is>
      </c>
      <c r="L29" t="n">
        <v>2</v>
      </c>
      <c r="M29" t="n">
        <v>1</v>
      </c>
      <c r="N29" s="2" t="n">
        <v>0.1</v>
      </c>
      <c r="O29" s="2">
        <f>N29*L29</f>
        <v/>
      </c>
      <c r="Q29" t="inlineStr">
        <is>
          <t>https://yageogroup.com/content/datasheet/asset/file/PYU-RC_GROUP_51_ROHS_L</t>
        </is>
      </c>
    </row>
    <row r="30">
      <c r="A30" t="n">
        <v>2</v>
      </c>
      <c r="B30" t="inlineStr">
        <is>
          <t>RC0805FR-071K5L</t>
        </is>
      </c>
      <c r="C30" t="inlineStr">
        <is>
          <t>YAGEO</t>
        </is>
      </c>
      <c r="D30" t="inlineStr">
        <is>
          <t>pm6V R28,R29</t>
        </is>
      </c>
      <c r="E30" t="inlineStr">
        <is>
          <t>1.5k</t>
        </is>
      </c>
      <c r="F30" t="inlineStr">
        <is>
          <t>R_0805</t>
        </is>
      </c>
      <c r="G30" t="inlineStr">
        <is>
          <t>Res 1.5k 1% 1/8W 0805 (bias)</t>
        </is>
      </c>
      <c r="H30" t="inlineStr">
        <is>
          <t>311-1.50KCRTR-ND</t>
        </is>
      </c>
      <c r="I30" t="inlineStr">
        <is>
          <t>YAGEO</t>
        </is>
      </c>
      <c r="J30" t="n">
        <v>309898</v>
      </c>
      <c r="K30" t="inlineStr">
        <is>
          <t>Active</t>
        </is>
      </c>
      <c r="L30" t="n">
        <v>2</v>
      </c>
      <c r="M30" t="n">
        <v>1</v>
      </c>
      <c r="N30" s="2" t="n">
        <v>0.1</v>
      </c>
      <c r="O30" s="2">
        <f>N30*L30</f>
        <v/>
      </c>
      <c r="Q30" t="inlineStr">
        <is>
          <t>https://yageogroup.com/content/datasheet/asset/file/PYU-RC_GROUP_51_ROHS_L</t>
        </is>
      </c>
    </row>
    <row r="31">
      <c r="A31" t="n">
        <v>4</v>
      </c>
      <c r="B31" t="inlineStr">
        <is>
          <t>WSL2512R1000FEA</t>
        </is>
      </c>
      <c r="C31" t="inlineStr">
        <is>
          <t>Vishay Dale</t>
        </is>
      </c>
      <c r="D31" t="inlineStr">
        <is>
          <t>pm6V R34,R35,R36,R37</t>
        </is>
      </c>
      <c r="E31" t="inlineStr">
        <is>
          <t>0.1R</t>
        </is>
      </c>
      <c r="F31" t="inlineStr">
        <is>
          <t>R_2512</t>
        </is>
      </c>
      <c r="G31" t="inlineStr">
        <is>
          <t>Res 0.1ohm 1% 1W 2512 (emitter ballast)</t>
        </is>
      </c>
      <c r="H31" t="inlineStr">
        <is>
          <t>WSLG-.10TR-ND</t>
        </is>
      </c>
      <c r="I31" t="inlineStr">
        <is>
          <t>Vishay Dale</t>
        </is>
      </c>
      <c r="J31" t="n">
        <v>129064</v>
      </c>
      <c r="K31" t="inlineStr">
        <is>
          <t>Active</t>
        </is>
      </c>
      <c r="L31" t="n">
        <v>4</v>
      </c>
      <c r="M31" t="n">
        <v>1</v>
      </c>
      <c r="N31" s="2" t="n">
        <v>0.66</v>
      </c>
      <c r="O31" s="2">
        <f>N31*L31</f>
        <v/>
      </c>
      <c r="Q31" t="inlineStr">
        <is>
          <t>https://www.vishay.com/docs/30100/wsl.pdf</t>
        </is>
      </c>
    </row>
    <row r="32">
      <c r="A32" t="n">
        <v>2</v>
      </c>
      <c r="B32" t="inlineStr">
        <is>
          <t>CRCW08051K00FKEA</t>
        </is>
      </c>
      <c r="C32" t="inlineStr">
        <is>
          <t>Vishay Dale</t>
        </is>
      </c>
      <c r="D32" t="inlineStr">
        <is>
          <t>pm6V R38,R39</t>
        </is>
      </c>
      <c r="E32" t="inlineStr">
        <is>
          <t>1k</t>
        </is>
      </c>
      <c r="F32" t="inlineStr">
        <is>
          <t>R_0805</t>
        </is>
      </c>
      <c r="G32" t="inlineStr">
        <is>
          <t>Res 1k 1% 1/8W 0805 (bleed)</t>
        </is>
      </c>
      <c r="H32" t="inlineStr">
        <is>
          <t>541-1.00KCTR-ND</t>
        </is>
      </c>
      <c r="I32" t="inlineStr">
        <is>
          <t>Vishay Dale</t>
        </is>
      </c>
      <c r="J32" t="n">
        <v>880408</v>
      </c>
      <c r="K32" t="inlineStr">
        <is>
          <t>Active</t>
        </is>
      </c>
      <c r="L32" t="n">
        <v>2</v>
      </c>
      <c r="M32" t="n">
        <v>1</v>
      </c>
      <c r="N32" s="2" t="n">
        <v>0.1</v>
      </c>
      <c r="O32" s="2">
        <f>N32*L32</f>
        <v/>
      </c>
      <c r="Q32" t="inlineStr">
        <is>
          <t>https://www.vishay.com/docs/20035/dcrcwe3.pdf</t>
        </is>
      </c>
    </row>
    <row r="33">
      <c r="A33" t="n">
        <v>4</v>
      </c>
      <c r="B33" t="inlineStr">
        <is>
          <t>RC0805FR-0710RL</t>
        </is>
      </c>
      <c r="C33" t="inlineStr">
        <is>
          <t>YAGEO</t>
        </is>
      </c>
      <c r="D33" t="inlineStr">
        <is>
          <t>pm6V R40,R41,R42,R43</t>
        </is>
      </c>
      <c r="E33" t="inlineStr">
        <is>
          <t>10R</t>
        </is>
      </c>
      <c r="F33" t="inlineStr">
        <is>
          <t>R_0805</t>
        </is>
      </c>
      <c r="G33" t="inlineStr">
        <is>
          <t>Res 10 1% 1/8W 0805 (base stopper)</t>
        </is>
      </c>
      <c r="H33" t="inlineStr">
        <is>
          <t>311-10.0CRTR-ND</t>
        </is>
      </c>
      <c r="I33" t="inlineStr">
        <is>
          <t>YAGEO</t>
        </is>
      </c>
      <c r="J33" t="n">
        <v>59927</v>
      </c>
      <c r="K33" t="inlineStr">
        <is>
          <t>Active</t>
        </is>
      </c>
      <c r="L33" t="n">
        <v>4</v>
      </c>
      <c r="M33" t="n">
        <v>1</v>
      </c>
      <c r="N33" s="2" t="n">
        <v>0.11</v>
      </c>
      <c r="O33" s="2">
        <f>N33*L33</f>
        <v/>
      </c>
      <c r="Q33" t="inlineStr">
        <is>
          <t>https://yageogroup.com/content/datasheet/asset/file/PYU-RC_GROUP_51_ROHS_L</t>
        </is>
      </c>
    </row>
    <row r="34">
      <c r="A34" t="n">
        <v>2</v>
      </c>
      <c r="B34" t="inlineStr">
        <is>
          <t>LM4051AIM3-ADJ/NOPB</t>
        </is>
      </c>
      <c r="C34" t="inlineStr">
        <is>
          <t>Texas Instruments</t>
        </is>
      </c>
      <c r="D34" t="inlineStr">
        <is>
          <t>pm6V U11,U12</t>
        </is>
      </c>
      <c r="E34" t="inlineStr">
        <is>
          <t>LM4051-ADJ</t>
        </is>
      </c>
      <c r="F34" t="inlineStr">
        <is>
          <t>SOT-23</t>
        </is>
      </c>
      <c r="G34" t="inlineStr">
        <is>
          <t>Shunt voltage ref adj 0.1% SOT-23</t>
        </is>
      </c>
      <c r="H34" t="inlineStr">
        <is>
          <t>LM4051AIM3-ADJ/NOPBTR-ND</t>
        </is>
      </c>
      <c r="I34" t="inlineStr">
        <is>
          <t>Texas Instruments</t>
        </is>
      </c>
      <c r="J34" t="n">
        <v>1525</v>
      </c>
      <c r="K34" t="inlineStr">
        <is>
          <t>Active</t>
        </is>
      </c>
      <c r="L34" t="n">
        <v>2</v>
      </c>
      <c r="M34" t="n">
        <v>1</v>
      </c>
      <c r="N34" s="2" t="n">
        <v>3.9</v>
      </c>
      <c r="O34" s="2">
        <f>N34*L34</f>
        <v/>
      </c>
      <c r="Q34" t="inlineStr">
        <is>
          <t>https://rocelec.widen.net/view/pdf/laxdfeqisn/lm4051-n.pdf?t.download=true&amp;u=5oefqw</t>
        </is>
      </c>
    </row>
    <row r="35">
      <c r="A35" t="n">
        <v>4</v>
      </c>
      <c r="B35" t="inlineStr">
        <is>
          <t>PMSSS 440 0050 PH</t>
        </is>
      </c>
      <c r="C35" t="inlineStr">
        <is>
          <t>B&amp;F Fastener Supply</t>
        </is>
      </c>
      <c r="D35" t="inlineStr">
        <is>
          <t>pm6V Q7-Q10 (TO-264 mount)</t>
        </is>
      </c>
      <c r="E35" t="inlineStr">
        <is>
          <t>#4-40 x 1/2in screw</t>
        </is>
      </c>
      <c r="F35" t="inlineStr">
        <is>
          <t>Hardware (off-PCB)</t>
        </is>
      </c>
      <c r="G35" t="inlineStr">
        <is>
          <t>SS pan-head machine screw #4-40 x 1/2in; TO-264 tab-&gt;657 heatsink (verify length vs boss, 3/8in alt)</t>
        </is>
      </c>
      <c r="H35" t="inlineStr">
        <is>
          <t>H705-ND</t>
        </is>
      </c>
      <c r="I35" t="inlineStr">
        <is>
          <t>BFirst Industrial</t>
        </is>
      </c>
      <c r="J35" t="n">
        <v>18671</v>
      </c>
      <c r="K35" t="inlineStr">
        <is>
          <t>Active</t>
        </is>
      </c>
      <c r="L35" t="n">
        <v>4</v>
      </c>
      <c r="M35" t="n">
        <v>100</v>
      </c>
      <c r="N35" s="2" t="n">
        <v>0.0381</v>
      </c>
      <c r="O35" s="2">
        <f>N35*L35</f>
        <v/>
      </c>
      <c r="Q35" t="inlineStr">
        <is>
          <t>http://www.fasnetdirect.com/refguide/Machinescrewthreads.pdf</t>
        </is>
      </c>
    </row>
    <row r="36">
      <c r="A36" t="n">
        <v>4</v>
      </c>
      <c r="B36" t="inlineStr">
        <is>
          <t>FWSS 004</t>
        </is>
      </c>
      <c r="C36" t="inlineStr">
        <is>
          <t>B&amp;F Fastener Supply</t>
        </is>
      </c>
      <c r="D36" t="inlineStr">
        <is>
          <t>pm6V Q7-Q10 (TO-264 mount)</t>
        </is>
      </c>
      <c r="E36" t="inlineStr">
        <is>
          <t>#4 flat washer</t>
        </is>
      </c>
      <c r="F36" t="inlineStr">
        <is>
          <t>Hardware (off-PCB)</t>
        </is>
      </c>
      <c r="G36" t="inlineStr">
        <is>
          <t>SS #4 flat washer, nut side</t>
        </is>
      </c>
      <c r="H36" t="inlineStr">
        <is>
          <t>H734-ND</t>
        </is>
      </c>
      <c r="I36" t="inlineStr">
        <is>
          <t>BFirst Industrial</t>
        </is>
      </c>
      <c r="J36" t="n">
        <v>24341</v>
      </c>
      <c r="K36" t="inlineStr">
        <is>
          <t>Active</t>
        </is>
      </c>
      <c r="L36" t="n">
        <v>4</v>
      </c>
      <c r="M36" t="n">
        <v>100</v>
      </c>
      <c r="N36" s="2" t="n">
        <v>0.0183</v>
      </c>
      <c r="O36" s="2">
        <f>N36*L36</f>
        <v/>
      </c>
    </row>
    <row r="37">
      <c r="A37" t="n">
        <v>4</v>
      </c>
      <c r="B37" t="inlineStr">
        <is>
          <t>INTLWZ 004</t>
        </is>
      </c>
      <c r="C37" t="inlineStr">
        <is>
          <t>B&amp;F Fastener Supply</t>
        </is>
      </c>
      <c r="D37" t="inlineStr">
        <is>
          <t>pm6V Q7-Q10 (TO-264 mount)</t>
        </is>
      </c>
      <c r="E37" t="inlineStr">
        <is>
          <t>#4 int-tooth lock washer</t>
        </is>
      </c>
      <c r="F37" t="inlineStr">
        <is>
          <t>Hardware (off-PCB)</t>
        </is>
      </c>
      <c r="G37" t="inlineStr">
        <is>
          <t>Internal-tooth lock washer #4 (anti-loosen under nut, thermal cycling)</t>
        </is>
      </c>
      <c r="H37" t="inlineStr">
        <is>
          <t>H236-ND</t>
        </is>
      </c>
      <c r="I37" t="inlineStr">
        <is>
          <t>BFirst Industrial</t>
        </is>
      </c>
      <c r="J37" t="n">
        <v>15796</v>
      </c>
      <c r="K37" t="inlineStr">
        <is>
          <t>Active</t>
        </is>
      </c>
      <c r="L37" t="n">
        <v>4</v>
      </c>
      <c r="M37" t="n">
        <v>100</v>
      </c>
      <c r="N37" s="2" t="n">
        <v>0.0126</v>
      </c>
      <c r="O37" s="2">
        <f>N37*L37</f>
        <v/>
      </c>
      <c r="Q37" t="inlineStr">
        <is>
          <t>//mm.digikey.com/Volume0/opasdata/d220001/medias/docus/8325/INTLWZ-004-Datasheet.pdf</t>
        </is>
      </c>
    </row>
    <row r="38">
      <c r="A38" t="n">
        <v>4</v>
      </c>
      <c r="B38" t="inlineStr">
        <is>
          <t>HNZ 440</t>
        </is>
      </c>
      <c r="C38" t="inlineStr">
        <is>
          <t>B&amp;F Fastener Supply</t>
        </is>
      </c>
      <c r="D38" t="inlineStr">
        <is>
          <t>pm6V Q7-Q10 (TO-264 mount)</t>
        </is>
      </c>
      <c r="E38" t="inlineStr">
        <is>
          <t>#4-40 hex nut</t>
        </is>
      </c>
      <c r="F38" t="inlineStr">
        <is>
          <t>Hardware (off-PCB)</t>
        </is>
      </c>
      <c r="G38" t="inlineStr">
        <is>
          <t>#4-40 hex nut, zinc-plated steel</t>
        </is>
      </c>
      <c r="H38" t="inlineStr">
        <is>
          <t>H216-ND</t>
        </is>
      </c>
      <c r="I38" t="inlineStr">
        <is>
          <t>BFirst Industrial</t>
        </is>
      </c>
      <c r="J38" t="n">
        <v>26939</v>
      </c>
      <c r="K38" t="inlineStr">
        <is>
          <t>Active</t>
        </is>
      </c>
      <c r="L38" t="n">
        <v>4</v>
      </c>
      <c r="M38" t="n">
        <v>100</v>
      </c>
      <c r="N38" s="2" t="n">
        <v>0.015</v>
      </c>
      <c r="O38" s="2">
        <f>N38*L38</f>
        <v/>
      </c>
    </row>
    <row r="39">
      <c r="N39" s="2" t="n"/>
      <c r="O39" s="2" t="n"/>
    </row>
    <row r="40">
      <c r="N40" s="3" t="inlineStr">
        <is>
          <t>TOTAL</t>
        </is>
      </c>
      <c r="O40" s="3">
        <f>SUM(O2:O38)</f>
        <v/>
      </c>
    </row>
    <row r="41">
      <c r="H41" s="4" t="inlineStr">
        <is>
          <t>Prices pulled 2026-07-13 10:41 (USD), 1 board(s)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2026-07-02T10:38:19Z</dcterms:created>
  <dcterms:modified xmlns:dcterms="http://purl.org/dc/terms/" xmlns:xsi="http://www.w3.org/2001/XMLSchema-instance" xsi:type="dcterms:W3CDTF">2026-07-21T00:53:49Z</dcterms:modified>
</cp:coreProperties>
</file>