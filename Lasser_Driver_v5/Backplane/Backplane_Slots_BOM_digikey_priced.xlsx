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IT\DualLaserPDHDriver\Lasser_Driver_v5\Backplane\"/>
    </mc:Choice>
  </mc:AlternateContent>
  <xr:revisionPtr revIDLastSave="0" documentId="13_ncr:1_{5196A068-850E-4633-83A8-79EBEA61B3A7}" xr6:coauthVersionLast="47" xr6:coauthVersionMax="47" xr10:uidLastSave="{00000000-0000-0000-0000-000000000000}"/>
  <bookViews>
    <workbookView xWindow="5830" yWindow="1740" windowWidth="20380" windowHeight="15540" xr2:uid="{00000000-000D-0000-FFFF-FFFF00000000}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" l="1"/>
  <c r="P5" i="1"/>
  <c r="P4" i="1"/>
  <c r="P3" i="1"/>
  <c r="P2" i="1"/>
  <c r="P8" i="1" s="1"/>
</calcChain>
</file>

<file path=xl/sharedStrings.xml><?xml version="1.0" encoding="utf-8"?>
<sst xmlns="http://schemas.openxmlformats.org/spreadsheetml/2006/main" count="72" uniqueCount="59">
  <si>
    <t>Quantity</t>
  </si>
  <si>
    <t>Manufacturer Part Number</t>
  </si>
  <si>
    <t>Manufacturer</t>
  </si>
  <si>
    <t>Customer Reference</t>
  </si>
  <si>
    <t>Value</t>
  </si>
  <si>
    <t>Footprint</t>
  </si>
  <si>
    <t>Description</t>
  </si>
  <si>
    <t>DigiKey P/N</t>
  </si>
  <si>
    <t>Found Mfr</t>
  </si>
  <si>
    <t>Stock</t>
  </si>
  <si>
    <t>Status</t>
  </si>
  <si>
    <t>Order Qty</t>
  </si>
  <si>
    <t>Price Break</t>
  </si>
  <si>
    <t>Unit Price</t>
  </si>
  <si>
    <t>Extended Price</t>
  </si>
  <si>
    <t>MOQ</t>
  </si>
  <si>
    <t>Datasheet</t>
  </si>
  <si>
    <t>Notes</t>
  </si>
  <si>
    <t>8</t>
  </si>
  <si>
    <t>294711-E</t>
  </si>
  <si>
    <t>TE Connectivity Erni</t>
  </si>
  <si>
    <t>Backplane J1,J2,J3,J4,J5,J6,J7,J8</t>
  </si>
  <si>
    <t>DIN41612_M_3x8+8_Female_Vertical_THT_Power</t>
  </si>
  <si>
    <t>DIN41612 Type M female vertical 24+8 (32pos) 10A backplane connector</t>
  </si>
  <si>
    <t>2684-294711-E-ND</t>
  </si>
  <si>
    <t>Active</t>
  </si>
  <si>
    <t>https://www.erni.com/fileadmin/import/products/assets/DC0002359.PDF</t>
  </si>
  <si>
    <t>1</t>
  </si>
  <si>
    <t>3634110</t>
  </si>
  <si>
    <t>C/A Design</t>
  </si>
  <si>
    <t>Backplane subrack frame</t>
  </si>
  <si>
    <t>SUBRACK EASY 3U/84HP/235MM</t>
  </si>
  <si>
    <t>Mechanical</t>
  </si>
  <si>
    <t>3U 84HP 235mm subrack frame (RIPAC EASY / IEEE 1101.1) - card guides &amp; screws separate</t>
  </si>
  <si>
    <t>6387-3634110-ND</t>
  </si>
  <si>
    <t>http://www.wakefield-vette.com/Portals/0/EPS/subrack/data%20sheets/ripac%20easy%20wakefield%20data%20sheet.pdf</t>
  </si>
  <si>
    <t>16</t>
  </si>
  <si>
    <t>3684669</t>
  </si>
  <si>
    <t>Backplane card guides</t>
  </si>
  <si>
    <t>GUIDE RAIL GRAY 160MM</t>
  </si>
  <si>
    <t>Card guide rail gray for 1.6mm PCB 160mm (2 per slot x 8 slots)</t>
  </si>
  <si>
    <t>6387-3684669-ND</t>
  </si>
  <si>
    <t>//mm.digikey.com/Volume0/opasdata/d220001/medias/docus/847/3685258.pdf</t>
  </si>
  <si>
    <t>M2.56MPP188B</t>
  </si>
  <si>
    <t>Kanebridge</t>
  </si>
  <si>
    <t>Backplane H1-H16</t>
  </si>
  <si>
    <t>M2.5x6 pan phillips SS</t>
  </si>
  <si>
    <t>M2.5x6mm pan head Phillips 18-8 SS machine screw (backplane-to-tiebar)</t>
  </si>
  <si>
    <t>16FW004032</t>
  </si>
  <si>
    <t>Essentra Components</t>
  </si>
  <si>
    <t>Backplane H1-H16 standoff</t>
  </si>
  <si>
    <t>Nylon washer 0.81mm (M2.5 clr)</t>
  </si>
  <si>
    <t>Nylon flat washer 0.81mm thick (2.92mm ID clears M2.5</t>
  </si>
  <si>
    <t xml:space="preserve"> 6.35mm OD) - insulating standoff/isolation at each hole (~1mm nominal</t>
  </si>
  <si>
    <t xml:space="preserve"> replaces spacer strip)</t>
  </si>
  <si>
    <t>RPC6319-ND</t>
  </si>
  <si>
    <t>//mm.digikey.com/Volume0/opasdata/d220001/medias/docus/2150/Fasteners.pdf</t>
  </si>
  <si>
    <t>TOTAL</t>
  </si>
  <si>
    <t>Prices pulled 2026-07-15 20:53 (USD), 1 board(s)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</si>
</sst>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####;\(\$#,##0.00####\);\-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9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164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"/>
  <sheetViews>
    <sheetView tabSelected="1" workbookViewId="0">
      <selection activeCell="K5" sqref="K5"/>
    </sheetView>
  </sheetViews>
  <sheetFormatPr defaultRowHeight="14.5" x14ac:dyDescent="0.35"/>
  <cols>
    <col min="9" max="9" width="18" customWidth="1"/>
    <col min="10" max="10" width="22" customWidth="1"/>
    <col min="11" max="12" width="12" customWidth="1"/>
    <col min="13" max="13" width="10" customWidth="1"/>
    <col min="14" max="14" width="11" customWidth="1"/>
    <col min="15" max="15" width="12" customWidth="1"/>
    <col min="16" max="16" width="14" customWidth="1"/>
    <col min="17" max="17" width="8" customWidth="1"/>
    <col min="18" max="18" width="30" customWidth="1"/>
    <col min="19" max="19" width="26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 x14ac:dyDescent="0.35">
      <c r="A2" t="s">
        <v>18</v>
      </c>
      <c r="B2" t="s">
        <v>19</v>
      </c>
      <c r="C2" t="s">
        <v>20</v>
      </c>
      <c r="D2" t="s">
        <v>21</v>
      </c>
      <c r="E2" t="s">
        <v>19</v>
      </c>
      <c r="F2" t="s">
        <v>22</v>
      </c>
      <c r="G2" t="s">
        <v>23</v>
      </c>
      <c r="I2" t="s">
        <v>24</v>
      </c>
      <c r="J2" t="s">
        <v>20</v>
      </c>
      <c r="K2">
        <v>171</v>
      </c>
      <c r="L2" t="s">
        <v>25</v>
      </c>
      <c r="M2">
        <v>8</v>
      </c>
      <c r="N2">
        <v>1</v>
      </c>
      <c r="O2" s="2">
        <v>6.38</v>
      </c>
      <c r="P2" s="2">
        <f>O2*M2</f>
        <v>51.04</v>
      </c>
      <c r="R2" t="s">
        <v>26</v>
      </c>
    </row>
    <row r="3" spans="1:19" x14ac:dyDescent="0.35">
      <c r="A3" t="s">
        <v>27</v>
      </c>
      <c r="B3" t="s">
        <v>28</v>
      </c>
      <c r="C3" t="s">
        <v>29</v>
      </c>
      <c r="D3" t="s">
        <v>30</v>
      </c>
      <c r="E3" t="s">
        <v>31</v>
      </c>
      <c r="F3" t="s">
        <v>32</v>
      </c>
      <c r="G3" t="s">
        <v>33</v>
      </c>
      <c r="I3" t="s">
        <v>34</v>
      </c>
      <c r="J3" t="s">
        <v>29</v>
      </c>
      <c r="K3">
        <v>3</v>
      </c>
      <c r="L3" t="s">
        <v>25</v>
      </c>
      <c r="M3">
        <v>1</v>
      </c>
      <c r="N3">
        <v>1</v>
      </c>
      <c r="O3" s="2">
        <v>163.11000000000001</v>
      </c>
      <c r="P3" s="2">
        <f>O3*M3</f>
        <v>163.11000000000001</v>
      </c>
      <c r="R3" t="s">
        <v>35</v>
      </c>
    </row>
    <row r="4" spans="1:19" x14ac:dyDescent="0.35">
      <c r="A4" t="s">
        <v>36</v>
      </c>
      <c r="B4" t="s">
        <v>37</v>
      </c>
      <c r="C4" t="s">
        <v>29</v>
      </c>
      <c r="D4" t="s">
        <v>38</v>
      </c>
      <c r="E4" t="s">
        <v>39</v>
      </c>
      <c r="F4" t="s">
        <v>40</v>
      </c>
      <c r="I4" t="s">
        <v>41</v>
      </c>
      <c r="J4" t="s">
        <v>29</v>
      </c>
      <c r="K4">
        <v>622</v>
      </c>
      <c r="L4" t="s">
        <v>25</v>
      </c>
      <c r="M4">
        <v>16</v>
      </c>
      <c r="N4">
        <v>10</v>
      </c>
      <c r="O4" s="2">
        <v>1.292</v>
      </c>
      <c r="P4" s="2">
        <f>O4*M4</f>
        <v>20.672000000000001</v>
      </c>
      <c r="R4" t="s">
        <v>42</v>
      </c>
    </row>
    <row r="5" spans="1:19" x14ac:dyDescent="0.35">
      <c r="A5" t="s">
        <v>36</v>
      </c>
      <c r="B5" t="s">
        <v>43</v>
      </c>
      <c r="C5" t="s">
        <v>44</v>
      </c>
      <c r="D5" t="s">
        <v>45</v>
      </c>
      <c r="E5" t="s">
        <v>46</v>
      </c>
      <c r="F5" t="s">
        <v>47</v>
      </c>
      <c r="J5" t="s">
        <v>44</v>
      </c>
      <c r="L5" t="s">
        <v>25</v>
      </c>
      <c r="M5">
        <v>16</v>
      </c>
      <c r="N5">
        <v>5000</v>
      </c>
      <c r="O5" s="2">
        <v>0.09</v>
      </c>
      <c r="P5" s="2">
        <f>O5*M5</f>
        <v>1.44</v>
      </c>
    </row>
    <row r="6" spans="1:19" x14ac:dyDescent="0.35">
      <c r="A6" t="s">
        <v>36</v>
      </c>
      <c r="B6" t="s">
        <v>48</v>
      </c>
      <c r="C6" t="s">
        <v>49</v>
      </c>
      <c r="D6" t="s">
        <v>50</v>
      </c>
      <c r="E6" t="s">
        <v>51</v>
      </c>
      <c r="F6" t="s">
        <v>52</v>
      </c>
      <c r="G6" t="s">
        <v>53</v>
      </c>
      <c r="H6" t="s">
        <v>54</v>
      </c>
      <c r="I6" t="s">
        <v>55</v>
      </c>
      <c r="J6" t="s">
        <v>49</v>
      </c>
      <c r="K6">
        <v>17200</v>
      </c>
      <c r="L6" t="s">
        <v>25</v>
      </c>
      <c r="M6">
        <v>16</v>
      </c>
      <c r="N6">
        <v>10</v>
      </c>
      <c r="O6" s="2">
        <v>2.7E-2</v>
      </c>
      <c r="P6" s="2">
        <f>O6*M6</f>
        <v>0.432</v>
      </c>
      <c r="R6" t="s">
        <v>56</v>
      </c>
    </row>
    <row r="7" spans="1:19" x14ac:dyDescent="0.35">
      <c r="O7" s="2"/>
      <c r="P7" s="2"/>
    </row>
    <row r="8" spans="1:19" x14ac:dyDescent="0.35">
      <c r="O8" s="3" t="s">
        <v>57</v>
      </c>
      <c r="P8" s="3">
        <f>SUM(P2:P6)</f>
        <v>236.69399999999999</v>
      </c>
    </row>
    <row r="9" spans="1:19" x14ac:dyDescent="0.35">
      <c r="I9" s="4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Cular, Stefan</cp:lastModifiedBy>
  <dcterms:created xsi:type="dcterms:W3CDTF">2026-07-16T00:53:36Z</dcterms:created>
  <dcterms:modified xsi:type="dcterms:W3CDTF">2026-07-16T21:10:00Z</dcterms:modified>
</cp:coreProperties>
</file>