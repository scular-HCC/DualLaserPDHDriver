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9" max="9"/>
    <col width="2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2" customWidth="1" min="15" max="15"/>
    <col width="14" customWidth="1" min="16" max="16"/>
    <col width="8" customWidth="1" min="17" max="17"/>
    <col width="30" customWidth="1" min="18" max="18"/>
    <col width="26" customWidth="1" min="19" max="19"/>
  </cols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  <c r="I1" s="1" t="inlineStr">
        <is>
          <t>DigiKey P/N</t>
        </is>
      </c>
      <c r="J1" s="1" t="inlineStr">
        <is>
          <t>Found Mfr</t>
        </is>
      </c>
      <c r="K1" s="1" t="inlineStr">
        <is>
          <t>Stock</t>
        </is>
      </c>
      <c r="L1" s="1" t="inlineStr">
        <is>
          <t>Status</t>
        </is>
      </c>
      <c r="M1" s="1" t="inlineStr">
        <is>
          <t>Order Qty</t>
        </is>
      </c>
      <c r="N1" s="1" t="inlineStr">
        <is>
          <t>Price Break</t>
        </is>
      </c>
      <c r="O1" s="1" t="inlineStr">
        <is>
          <t>Unit Price</t>
        </is>
      </c>
      <c r="P1" s="1" t="inlineStr">
        <is>
          <t>Extended Price</t>
        </is>
      </c>
      <c r="Q1" s="1" t="inlineStr">
        <is>
          <t>MOQ</t>
        </is>
      </c>
      <c r="R1" s="1" t="inlineStr">
        <is>
          <t>Datasheet</t>
        </is>
      </c>
      <c r="S1" s="1" t="inlineStr">
        <is>
          <t>Notes</t>
        </is>
      </c>
    </row>
    <row r="2">
      <c r="A2" t="inlineStr">
        <is>
          <t>8</t>
        </is>
      </c>
      <c r="B2" t="inlineStr">
        <is>
          <t>294711-E</t>
        </is>
      </c>
      <c r="C2" t="inlineStr">
        <is>
          <t>TE Connectivity Erni</t>
        </is>
      </c>
      <c r="D2" t="inlineStr">
        <is>
          <t>Backplane J1,J2,J3,J4,J5,J6,J7,J8</t>
        </is>
      </c>
      <c r="E2" t="inlineStr">
        <is>
          <t>294711-E</t>
        </is>
      </c>
      <c r="F2" t="inlineStr">
        <is>
          <t>DIN41612_M_3x8+8_Female_Vertical_THT_Power</t>
        </is>
      </c>
      <c r="G2" t="inlineStr">
        <is>
          <t>DIN41612 Type M female vertical 24+8 (32pos) 10A backplane connector</t>
        </is>
      </c>
      <c r="I2" t="inlineStr">
        <is>
          <t>2684-294711-E-ND</t>
        </is>
      </c>
      <c r="J2" t="inlineStr">
        <is>
          <t>TE Connectivity Erni</t>
        </is>
      </c>
      <c r="K2" t="n">
        <v>171</v>
      </c>
      <c r="L2" t="inlineStr">
        <is>
          <t>Active</t>
        </is>
      </c>
      <c r="M2" t="n">
        <v>8</v>
      </c>
      <c r="N2" t="n">
        <v>1</v>
      </c>
      <c r="O2" s="2" t="n">
        <v>6.38</v>
      </c>
      <c r="P2" s="2">
        <f>O2*M2</f>
        <v/>
      </c>
      <c r="R2" t="inlineStr">
        <is>
          <t>https://www.erni.com/fileadmin/import/products/assets/DC0002359.PDF</t>
        </is>
      </c>
      <c r="S2" t="inlineStr"/>
    </row>
    <row r="3">
      <c r="A3" t="inlineStr">
        <is>
          <t>1</t>
        </is>
      </c>
      <c r="B3" t="inlineStr">
        <is>
          <t>3634110</t>
        </is>
      </c>
      <c r="C3" t="inlineStr">
        <is>
          <t>C/A Design</t>
        </is>
      </c>
      <c r="D3" t="inlineStr">
        <is>
          <t>Backplane subrack frame</t>
        </is>
      </c>
      <c r="E3" t="inlineStr">
        <is>
          <t>SUBRACK EASY 3U/84HP/235MM</t>
        </is>
      </c>
      <c r="F3" t="inlineStr">
        <is>
          <t>Mechanical</t>
        </is>
      </c>
      <c r="G3" t="inlineStr">
        <is>
          <t>3U 84HP 235mm subrack frame (RIPAC EASY / IEEE 1101.1) - card guides &amp; screws separate</t>
        </is>
      </c>
      <c r="I3" t="inlineStr">
        <is>
          <t>6387-3634110-ND</t>
        </is>
      </c>
      <c r="J3" t="inlineStr">
        <is>
          <t>C/A Design</t>
        </is>
      </c>
      <c r="K3" t="n">
        <v>3</v>
      </c>
      <c r="L3" t="inlineStr">
        <is>
          <t>Active</t>
        </is>
      </c>
      <c r="M3" t="n">
        <v>1</v>
      </c>
      <c r="N3" t="n">
        <v>1</v>
      </c>
      <c r="O3" s="2" t="n">
        <v>163.11</v>
      </c>
      <c r="P3" s="2">
        <f>O3*M3</f>
        <v/>
      </c>
      <c r="R3" t="inlineStr">
        <is>
          <t>http://www.wakefield-vette.com/Portals/0/EPS/subrack/data%20sheets/ripac%20easy%20wakefield%20data%20sheet.pdf</t>
        </is>
      </c>
      <c r="S3" t="inlineStr"/>
    </row>
    <row r="4">
      <c r="A4" t="inlineStr">
        <is>
          <t>16</t>
        </is>
      </c>
      <c r="B4" t="inlineStr">
        <is>
          <t>3684669</t>
        </is>
      </c>
      <c r="C4" t="inlineStr">
        <is>
          <t>C/A Design</t>
        </is>
      </c>
      <c r="D4" t="inlineStr">
        <is>
          <t>Backplane card guides</t>
        </is>
      </c>
      <c r="E4" t="inlineStr">
        <is>
          <t>GUIDE RAIL GRAY 160MM</t>
        </is>
      </c>
      <c r="F4" t="inlineStr">
        <is>
          <t>Card guide rail gray for 1.6mm PCB 160mm (2 per slot x 8 slots)</t>
        </is>
      </c>
      <c r="I4" t="inlineStr">
        <is>
          <t>6387-3684669-ND</t>
        </is>
      </c>
      <c r="J4" t="inlineStr">
        <is>
          <t>C/A Design</t>
        </is>
      </c>
      <c r="K4" t="n">
        <v>504</v>
      </c>
      <c r="L4" t="inlineStr">
        <is>
          <t>Active</t>
        </is>
      </c>
      <c r="M4" t="n">
        <v>16</v>
      </c>
      <c r="N4" t="n">
        <v>10</v>
      </c>
      <c r="O4" s="2" t="n">
        <v>1.292</v>
      </c>
      <c r="P4" s="2">
        <f>O4*M4</f>
        <v/>
      </c>
      <c r="R4" t="inlineStr">
        <is>
          <t>//mm.digikey.com/Volume0/opasdata/d220001/medias/docus/847/3685258.pdf</t>
        </is>
      </c>
      <c r="S4" t="inlineStr"/>
    </row>
    <row r="5">
      <c r="A5" t="inlineStr">
        <is>
          <t>16</t>
        </is>
      </c>
      <c r="B5" t="inlineStr">
        <is>
          <t>M2.56MPP188B</t>
        </is>
      </c>
      <c r="C5" t="inlineStr">
        <is>
          <t>Kanebridge</t>
        </is>
      </c>
      <c r="D5" t="inlineStr">
        <is>
          <t>Backplane H1-H16</t>
        </is>
      </c>
      <c r="E5" t="inlineStr">
        <is>
          <t>M2.5x6 pan phillips SS</t>
        </is>
      </c>
      <c r="F5" t="inlineStr">
        <is>
          <t>M2.5x6mm pan head Phillips 18-8 SS machine screw (backplane-to-tiebar)</t>
        </is>
      </c>
      <c r="I5" t="inlineStr">
        <is>
          <t>4753-M2.56MPP188B-ND</t>
        </is>
      </c>
      <c r="J5" t="inlineStr">
        <is>
          <t>Kanebridge</t>
        </is>
      </c>
      <c r="K5" t="n">
        <v>95000</v>
      </c>
      <c r="L5" t="inlineStr">
        <is>
          <t>Active</t>
        </is>
      </c>
      <c r="M5" t="n">
        <v>16</v>
      </c>
      <c r="N5" t="n">
        <v>5000</v>
      </c>
      <c r="O5" s="2" t="n">
        <v>0.09</v>
      </c>
      <c r="P5" s="2">
        <f>O5*M5</f>
        <v/>
      </c>
      <c r="R5" t="inlineStr"/>
      <c r="S5" t="inlineStr"/>
    </row>
    <row r="6">
      <c r="A6" t="inlineStr">
        <is>
          <t>16</t>
        </is>
      </c>
      <c r="B6" t="inlineStr">
        <is>
          <t>16FW004032</t>
        </is>
      </c>
      <c r="C6" t="inlineStr">
        <is>
          <t>Essentra Components</t>
        </is>
      </c>
      <c r="D6" t="inlineStr">
        <is>
          <t>Backplane H1-H16 standoff</t>
        </is>
      </c>
      <c r="E6" t="inlineStr">
        <is>
          <t>Nylon washer 0.81mm (M2.5 clr)</t>
        </is>
      </c>
      <c r="F6" t="inlineStr">
        <is>
          <t>Nylon flat washer 0.81mm thick (2.92mm ID clears M2.5</t>
        </is>
      </c>
      <c r="G6" t="inlineStr">
        <is>
          <t xml:space="preserve"> 6.35mm OD) - insulating standoff/isolation at each hole (~1mm nominal</t>
        </is>
      </c>
      <c r="H6" t="inlineStr">
        <is>
          <t xml:space="preserve"> replaces spacer strip)</t>
        </is>
      </c>
      <c r="I6" t="inlineStr">
        <is>
          <t>RPC6319-ND</t>
        </is>
      </c>
      <c r="J6" t="inlineStr">
        <is>
          <t>Essentra Components</t>
        </is>
      </c>
      <c r="K6" t="n">
        <v>17100</v>
      </c>
      <c r="L6" t="inlineStr">
        <is>
          <t>Active</t>
        </is>
      </c>
      <c r="M6" t="n">
        <v>16</v>
      </c>
      <c r="N6" t="n">
        <v>10</v>
      </c>
      <c r="O6" s="2" t="n">
        <v>0.027</v>
      </c>
      <c r="P6" s="2">
        <f>O6*M6</f>
        <v/>
      </c>
      <c r="R6" t="inlineStr">
        <is>
          <t>//mm.digikey.com/Volume0/opasdata/d220001/medias/docus/2150/Fasteners.pdf</t>
        </is>
      </c>
      <c r="S6" t="inlineStr"/>
    </row>
    <row r="7">
      <c r="A7" t="n">
        <v>1</v>
      </c>
      <c r="B7" t="inlineStr">
        <is>
          <t>RC0805JR-070RL</t>
        </is>
      </c>
      <c r="C7" t="inlineStr">
        <is>
          <t>YAGEO</t>
        </is>
      </c>
      <c r="D7" t="inlineStr">
        <is>
          <t>Backplane R1</t>
        </is>
      </c>
      <c r="E7" t="inlineStr">
        <is>
          <t>0R</t>
        </is>
      </c>
      <c r="F7" t="inlineStr">
        <is>
          <t>R_0805_2012Metric_Pad1.20x1.40mm_HandSolder</t>
        </is>
      </c>
      <c r="G7" t="inlineStr">
        <is>
          <t>0 ohm single-point net-tie, GND&lt;-&gt;PGND_TEC ground bond</t>
        </is>
      </c>
      <c r="I7" t="inlineStr">
        <is>
          <t>311-0.0ARTR-ND</t>
        </is>
      </c>
      <c r="J7" t="inlineStr">
        <is>
          <t>YAGEO</t>
        </is>
      </c>
      <c r="K7" t="n">
        <v>1384314</v>
      </c>
      <c r="L7" t="inlineStr">
        <is>
          <t>Active</t>
        </is>
      </c>
      <c r="M7" t="n">
        <v>1</v>
      </c>
      <c r="N7" t="n">
        <v>1</v>
      </c>
      <c r="O7" s="2" t="n">
        <v>0.1</v>
      </c>
      <c r="P7" s="2">
        <f>O7*M7</f>
        <v/>
      </c>
      <c r="R7" t="inlineStr">
        <is>
          <t>https://yageogroup.com/content/datasheet/asset/file/PYU-RC_GROUP_51_ROHS_L</t>
        </is>
      </c>
      <c r="S7" t="inlineStr"/>
    </row>
    <row r="8">
      <c r="A8" t="n">
        <v>1</v>
      </c>
      <c r="B8" t="inlineStr">
        <is>
          <t>CL21B104KBCNNNC</t>
        </is>
      </c>
      <c r="C8" t="inlineStr">
        <is>
          <t>Samsung Electro-Mechanics</t>
        </is>
      </c>
      <c r="D8" t="inlineStr">
        <is>
          <t>Backplane C1</t>
        </is>
      </c>
      <c r="E8" t="inlineStr">
        <is>
          <t>100nF</t>
        </is>
      </c>
      <c r="F8" t="inlineStr">
        <is>
          <t>C_0805_2012Metric_Pad1.18x1.45mm_HandSolder</t>
        </is>
      </c>
      <c r="G8" t="inlineStr">
        <is>
          <t>100nF 50V X7R AC bypass across GND&lt;-&gt;PGND_TEC bond</t>
        </is>
      </c>
      <c r="I8" t="inlineStr">
        <is>
          <t>1276-1003-2-ND</t>
        </is>
      </c>
      <c r="J8" t="inlineStr">
        <is>
          <t>Samsung Electro-Mechanics</t>
        </is>
      </c>
      <c r="K8" t="n">
        <v>7323917</v>
      </c>
      <c r="L8" t="inlineStr">
        <is>
          <t>Active</t>
        </is>
      </c>
      <c r="M8" t="n">
        <v>1</v>
      </c>
      <c r="N8" t="n">
        <v>1</v>
      </c>
      <c r="O8" s="2" t="n">
        <v>0.1</v>
      </c>
      <c r="P8" s="2">
        <f>O8*M8</f>
        <v/>
      </c>
      <c r="R8" t="inlineStr">
        <is>
          <t>//mm.digikey.com/Volume0/opasdata/d220001/medias/docus/609/CL21B104KBCNNN_Spec.pdf</t>
        </is>
      </c>
      <c r="S8" t="inlineStr"/>
    </row>
    <row r="9">
      <c r="A9" t="n">
        <v>1</v>
      </c>
      <c r="B9" t="inlineStr">
        <is>
          <t>SMAJ5.0CA-E3/61</t>
        </is>
      </c>
      <c r="C9" t="inlineStr">
        <is>
          <t>Vishay General Semiconductor</t>
        </is>
      </c>
      <c r="D9" t="inlineStr">
        <is>
          <t>Backplane D3</t>
        </is>
      </c>
      <c r="E9" t="inlineStr">
        <is>
          <t>SMAJ5.0CA</t>
        </is>
      </c>
      <c r="F9" t="inlineStr">
        <is>
          <t>D_SMA-SMB_Universal_Handsoldering</t>
        </is>
      </c>
      <c r="G9" t="inlineStr">
        <is>
          <t>Bidirectional 5V TVS (DO-214AC/SMA), transient/fault clamp on GND&lt;-&gt;PGND_TEC bond</t>
        </is>
      </c>
      <c r="I9" t="inlineStr">
        <is>
          <t>SMAJ5.0CA-E3/61GITR-ND</t>
        </is>
      </c>
      <c r="J9" t="inlineStr">
        <is>
          <t>Vishay General Semiconductor - Diodes Division</t>
        </is>
      </c>
      <c r="K9" t="n">
        <v>142516</v>
      </c>
      <c r="L9" t="inlineStr">
        <is>
          <t>Active</t>
        </is>
      </c>
      <c r="M9" t="n">
        <v>1</v>
      </c>
      <c r="N9" t="n">
        <v>1</v>
      </c>
      <c r="O9" s="2" t="n">
        <v>0.51</v>
      </c>
      <c r="P9" s="2">
        <f>O9*M9</f>
        <v/>
      </c>
      <c r="R9" t="inlineStr">
        <is>
          <t>https://www.vishay.com/docs/88390/smaj50a.pdf</t>
        </is>
      </c>
      <c r="S9" t="inlineStr"/>
    </row>
    <row r="10">
      <c r="O10" s="2" t="n"/>
      <c r="P10" s="2" t="n"/>
    </row>
    <row r="11">
      <c r="O11" s="3" t="inlineStr">
        <is>
          <t>TOTAL</t>
        </is>
      </c>
      <c r="P11" s="3">
        <f>SUM(P2:P9)</f>
        <v/>
      </c>
    </row>
    <row r="12">
      <c r="I12" s="4" t="inlineStr">
        <is>
          <t>Prices pulled 2026-07-21 11:47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2026-07-16T00:53:36Z</dcterms:created>
  <dcterms:modified xmlns:dcterms="http://purl.org/dc/terms/" xmlns:xsi="http://www.w3.org/2001/XMLSchema-instance" xsi:type="dcterms:W3CDTF">2026-07-21T15:47:41Z</dcterms:modified>
</cp:coreProperties>
</file>