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5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60" customWidth="1" min="4" max="4"/>
    <col width="14" customWidth="1" min="5" max="5"/>
    <col width="24" customWidth="1" min="6" max="6"/>
    <col width="70" customWidth="1" min="7" max="7"/>
    <col width="18" customWidth="1" min="8" max="8"/>
    <col width="22" customWidth="1" min="9" max="9"/>
    <col width="12" customWidth="1" min="10" max="10"/>
    <col width="12" customWidth="1" min="11" max="11"/>
    <col width="10" customWidth="1" min="12" max="12"/>
    <col width="11" customWidth="1" min="13" max="13"/>
    <col width="12" customWidth="1" min="14" max="14"/>
    <col width="14" customWidth="1" min="15" max="15"/>
    <col width="8" customWidth="1" min="16" max="16"/>
    <col width="30" customWidth="1" min="17" max="17"/>
    <col width="26" customWidth="1" min="18" max="18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Value</t>
        </is>
      </c>
      <c r="F1" s="1" t="inlineStr">
        <is>
          <t>Footprint</t>
        </is>
      </c>
      <c r="G1" s="1" t="inlineStr">
        <is>
          <t>Description</t>
        </is>
      </c>
      <c r="H1" s="3" t="inlineStr">
        <is>
          <t>DigiKey P/N</t>
        </is>
      </c>
      <c r="I1" s="3" t="inlineStr">
        <is>
          <t>Found Mfr</t>
        </is>
      </c>
      <c r="J1" s="3" t="inlineStr">
        <is>
          <t>Stock</t>
        </is>
      </c>
      <c r="K1" s="3" t="inlineStr">
        <is>
          <t>Status</t>
        </is>
      </c>
      <c r="L1" s="3" t="inlineStr">
        <is>
          <t>Order Qty</t>
        </is>
      </c>
      <c r="M1" s="3" t="inlineStr">
        <is>
          <t>Price Break</t>
        </is>
      </c>
      <c r="N1" s="3" t="inlineStr">
        <is>
          <t>Unit Price</t>
        </is>
      </c>
      <c r="O1" s="3" t="inlineStr">
        <is>
          <t>Extended Price</t>
        </is>
      </c>
      <c r="P1" s="3" t="inlineStr">
        <is>
          <t>MOQ</t>
        </is>
      </c>
      <c r="Q1" s="3" t="inlineStr">
        <is>
          <t>Datasheet</t>
        </is>
      </c>
      <c r="R1" s="3" t="inlineStr">
        <is>
          <t>Notes</t>
        </is>
      </c>
    </row>
    <row r="2">
      <c r="A2" s="2" t="n">
        <v>1</v>
      </c>
      <c r="B2" s="2" t="inlineStr">
        <is>
          <t>AD5696RARUZ</t>
        </is>
      </c>
      <c r="C2" s="2" t="inlineStr">
        <is>
          <t>Analog Devices Inc.</t>
        </is>
      </c>
      <c r="D2" s="2" t="inlineStr">
        <is>
          <t>CH_Card U101</t>
        </is>
      </c>
      <c r="E2" s="2" t="inlineStr">
        <is>
          <t>AD5696R</t>
        </is>
      </c>
      <c r="F2" s="2" t="inlineStr">
        <is>
          <t>TSSOP-16</t>
        </is>
      </c>
      <c r="G2" s="2" t="inlineStr">
        <is>
          <t>Quad 16-bit I2C DAC, int 2.5V ref, gain pin (setpoints; VDD=+5V, VLOGIC=3V3)</t>
        </is>
      </c>
      <c r="H2" t="inlineStr">
        <is>
          <t>505-AD5696RARUZ-ND</t>
        </is>
      </c>
      <c r="I2" t="inlineStr">
        <is>
          <t>Analog Devices Inc.</t>
        </is>
      </c>
      <c r="J2" t="n">
        <v>137</v>
      </c>
      <c r="K2" t="inlineStr">
        <is>
          <t>Active</t>
        </is>
      </c>
      <c r="L2" t="n">
        <v>1</v>
      </c>
      <c r="M2" t="n">
        <v>1</v>
      </c>
      <c r="N2" s="4" t="n">
        <v>23.52</v>
      </c>
      <c r="O2" s="4">
        <f>N2*L2</f>
        <v/>
      </c>
      <c r="Q2" t="inlineStr">
        <is>
          <t>https://www.analog.com/media/en/technical-documentation/data-sheets/AD5696R_5695R_5694R.pdf</t>
        </is>
      </c>
      <c r="R2" t="inlineStr"/>
    </row>
    <row r="3">
      <c r="A3" s="2" t="n">
        <v>1</v>
      </c>
      <c r="B3" s="2" t="inlineStr">
        <is>
          <t>ADS1115IDGSR</t>
        </is>
      </c>
      <c r="C3" s="2" t="inlineStr">
        <is>
          <t>Texas Instruments</t>
        </is>
      </c>
      <c r="D3" s="2" t="inlineStr">
        <is>
          <t>CH_Card U102</t>
        </is>
      </c>
      <c r="E3" s="2" t="inlineStr">
        <is>
          <t>ADS1115</t>
        </is>
      </c>
      <c r="F3" s="2" t="inlineStr">
        <is>
          <t>MSOP-10</t>
        </is>
      </c>
      <c r="G3" s="2" t="inlineStr">
        <is>
          <t>16-bit 4ch sigma-delta I2C ADC (monitors)</t>
        </is>
      </c>
      <c r="H3" t="inlineStr">
        <is>
          <t>296-38849-2-ND</t>
        </is>
      </c>
      <c r="I3" t="inlineStr">
        <is>
          <t>Texas Instruments</t>
        </is>
      </c>
      <c r="J3" t="n">
        <v>46019</v>
      </c>
      <c r="K3" t="inlineStr">
        <is>
          <t>Active</t>
        </is>
      </c>
      <c r="L3" t="n">
        <v>1</v>
      </c>
      <c r="M3" t="n">
        <v>1</v>
      </c>
      <c r="N3" s="4" t="n">
        <v>5.28</v>
      </c>
      <c r="O3" s="4">
        <f>N3*L3</f>
        <v/>
      </c>
      <c r="Q3" t="inlineStr">
        <is>
          <t>https://www.ti.com/general/docs/suppproductinfo.tsp?distId=10&amp;gotoUrl=https%3A%2F%2Fwww.ti.com%2Flit%2Fgpn%2Fads1113</t>
        </is>
      </c>
      <c r="R3" t="inlineStr"/>
    </row>
    <row r="4">
      <c r="A4" s="2" t="n">
        <v>1</v>
      </c>
      <c r="B4" s="2" t="inlineStr">
        <is>
          <t>PCA9538PWR</t>
        </is>
      </c>
      <c r="C4" s="2" t="inlineStr">
        <is>
          <t>Texas Instruments</t>
        </is>
      </c>
      <c r="D4" s="2" t="inlineStr">
        <is>
          <t>CH_Card U103</t>
        </is>
      </c>
      <c r="E4" s="2" t="inlineStr">
        <is>
          <t>PCA9538</t>
        </is>
      </c>
      <c r="F4" s="2" t="inlineStr">
        <is>
          <t>TSSOP-16</t>
        </is>
      </c>
      <c r="G4" s="2" t="inlineStr">
        <is>
          <t>8-bit I2C GPIO expander w/ INT (LOCK_EN, HB fault, FAULT_n)</t>
        </is>
      </c>
      <c r="H4" t="inlineStr">
        <is>
          <t>296-21769-2-ND</t>
        </is>
      </c>
      <c r="I4" t="inlineStr">
        <is>
          <t>Texas Instruments</t>
        </is>
      </c>
      <c r="J4" t="n">
        <v>14084</v>
      </c>
      <c r="K4" t="inlineStr">
        <is>
          <t>Active</t>
        </is>
      </c>
      <c r="L4" t="n">
        <v>1</v>
      </c>
      <c r="M4" t="n">
        <v>1</v>
      </c>
      <c r="N4" s="4" t="n">
        <v>2.03</v>
      </c>
      <c r="O4" s="4">
        <f>N4*L4</f>
        <v/>
      </c>
      <c r="Q4" t="inlineStr">
        <is>
          <t>https://www.ti.com/general/docs/suppproductinfo.tsp?distId=10&amp;gotoUrl=https%3A%2F%2Fwww.ti.com%2Flit%2Fgpn%2Fpca9538</t>
        </is>
      </c>
      <c r="R4" t="inlineStr"/>
    </row>
    <row r="5">
      <c r="A5" s="2" t="n">
        <v>3</v>
      </c>
      <c r="B5" s="2" t="inlineStr">
        <is>
          <t>ADG419BRMZ</t>
        </is>
      </c>
      <c r="C5" s="2" t="inlineStr">
        <is>
          <t>Analog Devices Inc.</t>
        </is>
      </c>
      <c r="D5" s="2" t="inlineStr">
        <is>
          <t>CH_Card U26,U104,U105</t>
        </is>
      </c>
      <c r="E5" s="2" t="inlineStr">
        <is>
          <t>ADG419BRM</t>
        </is>
      </c>
      <c r="F5" s="2" t="inlineStr">
        <is>
          <t>MSOP-8</t>
        </is>
      </c>
      <c r="G5" s="2" t="inlineStr">
        <is>
          <t>SPDT analog switch (lock switch + ERR/MOD channel muxes)</t>
        </is>
      </c>
      <c r="H5" t="inlineStr">
        <is>
          <t>505-ADG419BRMZ-ND</t>
        </is>
      </c>
      <c r="I5" t="inlineStr">
        <is>
          <t>Analog Devices Inc.</t>
        </is>
      </c>
      <c r="J5" t="n">
        <v>1149</v>
      </c>
      <c r="K5" t="inlineStr">
        <is>
          <t>Active</t>
        </is>
      </c>
      <c r="L5" t="n">
        <v>3</v>
      </c>
      <c r="M5" t="n">
        <v>1</v>
      </c>
      <c r="N5" s="4" t="n">
        <v>5.99</v>
      </c>
      <c r="O5" s="4">
        <f>N5*L5</f>
        <v/>
      </c>
      <c r="Q5" t="inlineStr">
        <is>
          <t>https://www.analog.com/media/en/technical-documentation/data-sheets/ADG419.pdf</t>
        </is>
      </c>
      <c r="R5" t="inlineStr"/>
    </row>
    <row r="6">
      <c r="A6" s="2" t="n">
        <v>4</v>
      </c>
      <c r="B6" s="2" t="inlineStr">
        <is>
          <t>OPA192IDBVR</t>
        </is>
      </c>
      <c r="C6" s="2" t="inlineStr">
        <is>
          <t>Texas Instruments</t>
        </is>
      </c>
      <c r="D6" s="2" t="inlineStr">
        <is>
          <t>CH_Card U17,U19,U22,U24</t>
        </is>
      </c>
      <c r="E6" s="2" t="inlineStr">
        <is>
          <t>OPA192</t>
        </is>
      </c>
      <c r="F6" s="2" t="inlineStr">
        <is>
          <t>SOT-23-5</t>
        </is>
      </c>
      <c r="G6" s="2" t="inlineStr">
        <is>
          <t>Precision op-amp 36V (VZERO buf, TEC err, laser set, summing) - SEE NOTE: symbol unit renumber to DBV</t>
        </is>
      </c>
      <c r="H6" t="inlineStr">
        <is>
          <t>296-42105-2-ND</t>
        </is>
      </c>
      <c r="I6" t="inlineStr">
        <is>
          <t>Texas Instruments</t>
        </is>
      </c>
      <c r="J6" t="n">
        <v>25495</v>
      </c>
      <c r="K6" t="inlineStr">
        <is>
          <t>Active</t>
        </is>
      </c>
      <c r="L6" t="n">
        <v>4</v>
      </c>
      <c r="M6" t="n">
        <v>1</v>
      </c>
      <c r="N6" s="4" t="n">
        <v>3.83</v>
      </c>
      <c r="O6" s="4">
        <f>N6*L6</f>
        <v/>
      </c>
      <c r="Q6" t="inlineStr">
        <is>
          <t>https://www.ti.com/general/docs/suppproductinfo.tsp?distId=10&amp;gotoUrl=https%3A%2F%2Fwww.ti.com%2Flit%2Fgpn%2Fopa192</t>
        </is>
      </c>
      <c r="R6" t="inlineStr"/>
    </row>
    <row r="7">
      <c r="A7" s="2" t="n">
        <v>1</v>
      </c>
      <c r="B7" s="2" t="inlineStr">
        <is>
          <t>OPA551UA</t>
        </is>
      </c>
      <c r="C7" s="2" t="inlineStr">
        <is>
          <t>Texas Instruments</t>
        </is>
      </c>
      <c r="D7" s="2" t="inlineStr">
        <is>
          <t>CH_Card U21</t>
        </is>
      </c>
      <c r="E7" s="2" t="inlineStr">
        <is>
          <t>OPA551U</t>
        </is>
      </c>
      <c r="F7" s="2" t="inlineStr">
        <is>
          <t>SOIC-8</t>
        </is>
      </c>
      <c r="G7" s="2" t="inlineStr">
        <is>
          <t>Power op-amp 60V 200mA w/ thermal flag (H-bridge gate driver)</t>
        </is>
      </c>
      <c r="H7" t="inlineStr">
        <is>
          <t>OPA551UA-ND</t>
        </is>
      </c>
      <c r="I7" t="inlineStr">
        <is>
          <t>Texas Instruments</t>
        </is>
      </c>
      <c r="J7" t="n">
        <v>4334</v>
      </c>
      <c r="K7" t="inlineStr">
        <is>
          <t>Active</t>
        </is>
      </c>
      <c r="L7" t="n">
        <v>1</v>
      </c>
      <c r="M7" t="n">
        <v>1</v>
      </c>
      <c r="N7" s="4" t="n">
        <v>6.81</v>
      </c>
      <c r="O7" s="4">
        <f>N7*L7</f>
        <v/>
      </c>
      <c r="Q7" t="inlineStr">
        <is>
          <t>https://www.ti.com/general/docs/suppproductinfo.tsp?distId=10&amp;gotoUrl=https%3A%2F%2Fwww.ti.com%2Flit%2Fgpn%2Fopa552</t>
        </is>
      </c>
      <c r="R7" t="inlineStr"/>
    </row>
    <row r="8">
      <c r="A8" s="2" t="n">
        <v>2</v>
      </c>
      <c r="B8" s="2" t="inlineStr">
        <is>
          <t>OPA380AIDR</t>
        </is>
      </c>
      <c r="C8" s="2" t="inlineStr">
        <is>
          <t>Texas Instruments</t>
        </is>
      </c>
      <c r="D8" s="2" t="inlineStr">
        <is>
          <t>CH_Card U_TIA1,U_TIA2</t>
        </is>
      </c>
      <c r="E8" s="2" t="inlineStr">
        <is>
          <t>OPA380</t>
        </is>
      </c>
      <c r="F8" s="2" t="inlineStr">
        <is>
          <t>SOIC-8</t>
        </is>
      </c>
      <c r="G8" s="2" t="inlineStr">
        <is>
          <t>90MHz transimpedance amp (MPD monitor TIAs)</t>
        </is>
      </c>
      <c r="H8" t="inlineStr">
        <is>
          <t>296-OPA380AIDRTR-ND</t>
        </is>
      </c>
      <c r="I8" t="inlineStr">
        <is>
          <t>Texas Instruments</t>
        </is>
      </c>
      <c r="J8" t="n">
        <v>22858</v>
      </c>
      <c r="K8" t="inlineStr">
        <is>
          <t>Active</t>
        </is>
      </c>
      <c r="L8" t="n">
        <v>2</v>
      </c>
      <c r="M8" t="n">
        <v>84</v>
      </c>
      <c r="N8" s="4" t="n">
        <v>3.56</v>
      </c>
      <c r="O8" s="4">
        <f>N8*L8</f>
        <v/>
      </c>
      <c r="Q8" t="inlineStr">
        <is>
          <t>https://www.ti.com/general/docs/suppproductinfo.tsp?distId=10&amp;gotoUrl=https%3A%2F%2Fwww.ti.com%2Flit%2Fgpn%2Fopa380</t>
        </is>
      </c>
      <c r="R8" t="inlineStr"/>
    </row>
    <row r="9">
      <c r="A9" s="2" t="n">
        <v>2</v>
      </c>
      <c r="B9" s="2" t="inlineStr">
        <is>
          <t>INA828IDR</t>
        </is>
      </c>
      <c r="C9" s="2" t="inlineStr">
        <is>
          <t>Texas Instruments</t>
        </is>
      </c>
      <c r="D9" s="2" t="inlineStr">
        <is>
          <t>CH_Card U28,U32</t>
        </is>
      </c>
      <c r="E9" s="2" t="inlineStr">
        <is>
          <t>INA828</t>
        </is>
      </c>
      <c r="F9" s="2" t="inlineStr">
        <is>
          <t>SOIC-8</t>
        </is>
      </c>
      <c r="G9" s="2" t="inlineStr">
        <is>
          <t>Instrumentation amp SOIC-8 (laser/TEC current sense; INA826 successor, G=1+50k/RG - firmware cal absorbs +1.2%)</t>
        </is>
      </c>
      <c r="H9" t="inlineStr">
        <is>
          <t>296-48914-2-ND</t>
        </is>
      </c>
      <c r="I9" t="inlineStr">
        <is>
          <t>Texas Instruments</t>
        </is>
      </c>
      <c r="J9" t="n">
        <v>5253</v>
      </c>
      <c r="K9" t="inlineStr">
        <is>
          <t>Active</t>
        </is>
      </c>
      <c r="L9" t="n">
        <v>2</v>
      </c>
      <c r="M9" t="n">
        <v>1</v>
      </c>
      <c r="N9" s="4" t="n">
        <v>6.45</v>
      </c>
      <c r="O9" s="4">
        <f>N9*L9</f>
        <v/>
      </c>
      <c r="Q9" t="inlineStr">
        <is>
          <t>https://www.ti.com/general/docs/suppproductinfo.tsp?distId=10&amp;gotoUrl=https%3A%2F%2Fwww.ti.com%2Flit%2Fgpn%2Fina828</t>
        </is>
      </c>
      <c r="R9" t="inlineStr"/>
    </row>
    <row r="10">
      <c r="A10" s="2" t="n">
        <v>2</v>
      </c>
      <c r="B10" s="2" t="inlineStr">
        <is>
          <t>IRL540NPBF</t>
        </is>
      </c>
      <c r="C10" s="2" t="inlineStr">
        <is>
          <t>Infineon Technologies</t>
        </is>
      </c>
      <c r="D10" s="2" t="inlineStr">
        <is>
          <t>CH_Card Q13,Q17</t>
        </is>
      </c>
      <c r="E10" s="2" t="inlineStr">
        <is>
          <t>IRL540N</t>
        </is>
      </c>
      <c r="F10" s="2" t="inlineStr">
        <is>
          <t>TO-220-3</t>
        </is>
      </c>
      <c r="G10" s="2" t="inlineStr">
        <is>
          <t>N-MOSFET 100V logic-level (H-bridge high side; SUB for obsolete IRLB8721PBF)</t>
        </is>
      </c>
      <c r="H10" t="inlineStr">
        <is>
          <t>IRL540NPBF-ND</t>
        </is>
      </c>
      <c r="I10" t="inlineStr">
        <is>
          <t>Infineon Technologies</t>
        </is>
      </c>
      <c r="J10" t="n">
        <v>118162</v>
      </c>
      <c r="K10" t="inlineStr">
        <is>
          <t>Active</t>
        </is>
      </c>
      <c r="L10" t="n">
        <v>2</v>
      </c>
      <c r="M10" t="n">
        <v>1</v>
      </c>
      <c r="N10" s="4" t="n">
        <v>2.39</v>
      </c>
      <c r="O10" s="4">
        <f>N10*L10</f>
        <v/>
      </c>
      <c r="Q10" t="inlineStr">
        <is>
          <t>https://www.infineon.com/dgdl/irl540npbf.pdf?fileId=5546d462533600a40153565fc2a62567</t>
        </is>
      </c>
      <c r="R10" t="inlineStr"/>
    </row>
    <row r="11">
      <c r="A11" s="2" t="n">
        <v>2</v>
      </c>
      <c r="B11" s="2" t="inlineStr">
        <is>
          <t>IRF9540NPBF</t>
        </is>
      </c>
      <c r="C11" s="2" t="inlineStr">
        <is>
          <t>Infineon Technologies</t>
        </is>
      </c>
      <c r="D11" s="2" t="inlineStr">
        <is>
          <t>CH_Card Q14,Q18</t>
        </is>
      </c>
      <c r="E11" s="2" t="inlineStr">
        <is>
          <t>IRF9540N</t>
        </is>
      </c>
      <c r="F11" s="2" t="inlineStr">
        <is>
          <t>TO-220-3</t>
        </is>
      </c>
      <c r="G11" s="2" t="inlineStr">
        <is>
          <t>P-MOSFET -100V (H-bridge low side; same as pm6V)</t>
        </is>
      </c>
      <c r="H11" t="inlineStr">
        <is>
          <t>IRF9540NPBF-ND</t>
        </is>
      </c>
      <c r="I11" t="inlineStr">
        <is>
          <t>Infineon Technologies</t>
        </is>
      </c>
      <c r="J11" t="n">
        <v>11659</v>
      </c>
      <c r="K11" t="inlineStr">
        <is>
          <t>Active</t>
        </is>
      </c>
      <c r="L11" t="n">
        <v>2</v>
      </c>
      <c r="M11" t="n">
        <v>1</v>
      </c>
      <c r="N11" s="4" t="n">
        <v>2.75</v>
      </c>
      <c r="O11" s="4">
        <f>N11*L11</f>
        <v/>
      </c>
      <c r="Q11" t="inlineStr">
        <is>
          <t>https://www.infineon.com/assets/row/public/documents/24/49/infineon-irf9540n-datasheet-en.pdf</t>
        </is>
      </c>
      <c r="R11" t="inlineStr"/>
    </row>
    <row r="12">
      <c r="A12" s="2" t="n">
        <v>1</v>
      </c>
      <c r="B12" s="2" t="inlineStr">
        <is>
          <t>DMN3404L-7</t>
        </is>
      </c>
      <c r="C12" s="2" t="inlineStr">
        <is>
          <t>Diodes Incorporated</t>
        </is>
      </c>
      <c r="D12" s="2" t="inlineStr">
        <is>
          <t>CH_Card Q19</t>
        </is>
      </c>
      <c r="E12" s="2" t="inlineStr">
        <is>
          <t>DMN3404L</t>
        </is>
      </c>
      <c r="F12" s="2" t="inlineStr">
        <is>
          <t>SOT-23</t>
        </is>
      </c>
      <c r="G12" s="2" t="inlineStr">
        <is>
          <t>N-MOSFET 30V logic-level (laser current sink; SUB for IRLML6344 0-stock)</t>
        </is>
      </c>
      <c r="H12" t="inlineStr">
        <is>
          <t>DMN3404LDITR-ND</t>
        </is>
      </c>
      <c r="I12" t="inlineStr">
        <is>
          <t>Diodes Incorporated</t>
        </is>
      </c>
      <c r="J12" t="n">
        <v>1988</v>
      </c>
      <c r="K12" t="inlineStr">
        <is>
          <t>Active</t>
        </is>
      </c>
      <c r="L12" t="n">
        <v>1</v>
      </c>
      <c r="M12" t="n">
        <v>1</v>
      </c>
      <c r="N12" s="4" t="n">
        <v>0.38</v>
      </c>
      <c r="O12" s="4">
        <f>N12*L12</f>
        <v/>
      </c>
      <c r="Q12" t="inlineStr">
        <is>
          <t>https://www.diodes.com/datasheet/download/DMN3404L.pdf</t>
        </is>
      </c>
      <c r="R12" t="inlineStr"/>
    </row>
    <row r="13">
      <c r="A13" s="2" t="n">
        <v>4</v>
      </c>
      <c r="B13" s="2" t="inlineStr">
        <is>
          <t>MMSZ4702T1G</t>
        </is>
      </c>
      <c r="C13" s="2" t="inlineStr">
        <is>
          <t>onsemi</t>
        </is>
      </c>
      <c r="D13" s="2" t="inlineStr">
        <is>
          <t>CH_Card D16,D17,D20,D21</t>
        </is>
      </c>
      <c r="E13" s="2" t="inlineStr">
        <is>
          <t>15V zener</t>
        </is>
      </c>
      <c r="F13" s="2" t="inlineStr">
        <is>
          <t>SOD-123</t>
        </is>
      </c>
      <c r="G13" s="2" t="inlineStr">
        <is>
          <t>Zener 15V 500mW gate clamp - NOTE: change fp SOD-323 -&gt; SOD-123</t>
        </is>
      </c>
      <c r="H13" t="inlineStr">
        <is>
          <t>MMSZ4702T1GOSTR-ND</t>
        </is>
      </c>
      <c r="I13" t="inlineStr">
        <is>
          <t>onsemi</t>
        </is>
      </c>
      <c r="J13" t="n">
        <v>53360</v>
      </c>
      <c r="K13" t="inlineStr">
        <is>
          <t>Active</t>
        </is>
      </c>
      <c r="L13" t="n">
        <v>4</v>
      </c>
      <c r="M13" t="n">
        <v>1</v>
      </c>
      <c r="N13" s="4" t="n">
        <v>0.17</v>
      </c>
      <c r="O13" s="4">
        <f>N13*L13</f>
        <v/>
      </c>
      <c r="Q13" t="inlineStr">
        <is>
          <t>https://www.onsemi.com/pdf/datasheet/mmsz4678t1-d.pdf</t>
        </is>
      </c>
      <c r="R13" t="inlineStr"/>
    </row>
    <row r="14">
      <c r="A14" s="2" t="n">
        <v>1</v>
      </c>
      <c r="B14" s="2" t="inlineStr">
        <is>
          <t>BAT46W-TP</t>
        </is>
      </c>
      <c r="C14" s="2" t="inlineStr">
        <is>
          <t>Micro Commercial Co</t>
        </is>
      </c>
      <c r="D14" s="2" t="inlineStr">
        <is>
          <t>CH_Card D22</t>
        </is>
      </c>
      <c r="E14" s="2" t="inlineStr">
        <is>
          <t>Schottky</t>
        </is>
      </c>
      <c r="F14" s="2" t="inlineStr">
        <is>
          <t>SOD-123</t>
        </is>
      </c>
      <c r="G14" s="2" t="inlineStr">
        <is>
          <t>Schottky 100V 75mA laser reverse protect (SUB for BAT54: no SOD-123 variant)</t>
        </is>
      </c>
      <c r="H14" t="inlineStr">
        <is>
          <t>BAT46W-TPMSTR-ND</t>
        </is>
      </c>
      <c r="I14" t="inlineStr">
        <is>
          <t>MCC (Micro Commercial Components)</t>
        </is>
      </c>
      <c r="J14" t="n">
        <v>41227</v>
      </c>
      <c r="K14" t="inlineStr">
        <is>
          <t>Active</t>
        </is>
      </c>
      <c r="L14" t="n">
        <v>1</v>
      </c>
      <c r="M14" t="n">
        <v>1</v>
      </c>
      <c r="N14" s="4" t="n">
        <v>0.33</v>
      </c>
      <c r="O14" s="4">
        <f>N14*L14</f>
        <v/>
      </c>
      <c r="Q14" t="inlineStr">
        <is>
          <t>https://www.mccsemi.com/pdf/Products/BAT46W(SOD-123).pdf</t>
        </is>
      </c>
      <c r="R14" t="inlineStr"/>
    </row>
    <row r="15">
      <c r="A15" s="2" t="n">
        <v>1</v>
      </c>
      <c r="B15" s="2" t="inlineStr">
        <is>
          <t>CM453232-100KL</t>
        </is>
      </c>
      <c r="C15" s="2" t="inlineStr">
        <is>
          <t>Bourns Inc.</t>
        </is>
      </c>
      <c r="D15" s="2" t="inlineStr">
        <is>
          <t>CH_Card L1</t>
        </is>
      </c>
      <c r="E15" s="2" t="inlineStr">
        <is>
          <t>10uH 1812</t>
        </is>
      </c>
      <c r="F15" s="2" t="inlineStr">
        <is>
          <t>L_1812</t>
        </is>
      </c>
      <c r="G15" s="2" t="inlineStr">
        <is>
          <t>Inductor 10uH 250mA 1.6R (laser bias tee; Isat &gt; laser Imax 100mA)</t>
        </is>
      </c>
      <c r="H15" t="inlineStr">
        <is>
          <t>CM453232-100KLTR-ND</t>
        </is>
      </c>
      <c r="I15" t="inlineStr">
        <is>
          <t>Bourns Inc.</t>
        </is>
      </c>
      <c r="J15" t="n">
        <v>8707</v>
      </c>
      <c r="K15" t="inlineStr">
        <is>
          <t>Active</t>
        </is>
      </c>
      <c r="L15" t="n">
        <v>1</v>
      </c>
      <c r="M15" t="n">
        <v>1</v>
      </c>
      <c r="N15" s="4" t="n">
        <v>0.29</v>
      </c>
      <c r="O15" s="4">
        <f>N15*L15</f>
        <v/>
      </c>
      <c r="Q15" t="inlineStr">
        <is>
          <t>https://www.bourns.com/docs/Product-Datasheets/CM.pdf</t>
        </is>
      </c>
      <c r="R15" t="inlineStr"/>
    </row>
    <row r="16">
      <c r="A16" s="2" t="n">
        <v>2</v>
      </c>
      <c r="B16" s="2" t="inlineStr">
        <is>
          <t>CRM2512-FX-R100ELF</t>
        </is>
      </c>
      <c r="C16" s="2" t="inlineStr">
        <is>
          <t>Bourns Inc.</t>
        </is>
      </c>
      <c r="D16" s="2" t="inlineStr">
        <is>
          <t>CH_Card R63,R65</t>
        </is>
      </c>
      <c r="E16" s="2" t="inlineStr">
        <is>
          <t>0.1R 2W</t>
        </is>
      </c>
      <c r="F16" s="2" t="inlineStr">
        <is>
          <t>R_2512</t>
        </is>
      </c>
      <c r="G16" s="2" t="inlineStr">
        <is>
          <t>Current sense 0.1R 1% 2W 2512 (TEC shunts; 2-terminal - Kelvin-route sense traces to pads at layout)</t>
        </is>
      </c>
      <c r="H16" t="inlineStr">
        <is>
          <t>CRM2512-FX-R100ELFTR-ND</t>
        </is>
      </c>
      <c r="I16" t="inlineStr">
        <is>
          <t>Bourns Inc.</t>
        </is>
      </c>
      <c r="J16" t="n">
        <v>29837</v>
      </c>
      <c r="K16" t="inlineStr">
        <is>
          <t>Active</t>
        </is>
      </c>
      <c r="L16" t="n">
        <v>2</v>
      </c>
      <c r="M16" t="n">
        <v>1</v>
      </c>
      <c r="N16" s="4" t="n">
        <v>0.62</v>
      </c>
      <c r="O16" s="4">
        <f>N16*L16</f>
        <v/>
      </c>
      <c r="Q16" t="inlineStr">
        <is>
          <t>https://www.bourns.com/docs/product-datasheets/crm.pdf</t>
        </is>
      </c>
      <c r="R16" t="inlineStr"/>
    </row>
    <row r="17">
      <c r="A17" s="2" t="n">
        <v>1</v>
      </c>
      <c r="B17" s="2" t="inlineStr">
        <is>
          <t>WSL2512R2500FEA</t>
        </is>
      </c>
      <c r="C17" s="2" t="inlineStr">
        <is>
          <t>Vishay Dale</t>
        </is>
      </c>
      <c r="D17" s="2" t="inlineStr">
        <is>
          <t>CH_Card R81</t>
        </is>
      </c>
      <c r="E17" s="2" t="inlineStr">
        <is>
          <t>0.25R 1W</t>
        </is>
      </c>
      <c r="F17" s="2" t="inlineStr">
        <is>
          <t>R_2512</t>
        </is>
      </c>
      <c r="G17" s="2" t="inlineStr">
        <is>
          <t>Current sense 0.25R 1% 1W 2512 (laser shunt; 2-terminal - Kelvin-route at layout)</t>
        </is>
      </c>
      <c r="H17" t="inlineStr">
        <is>
          <t>WSLG-.25TR-ND</t>
        </is>
      </c>
      <c r="I17" t="inlineStr">
        <is>
          <t>Vishay Dale</t>
        </is>
      </c>
      <c r="J17" t="n">
        <v>32176</v>
      </c>
      <c r="K17" t="inlineStr">
        <is>
          <t>Active</t>
        </is>
      </c>
      <c r="L17" t="n">
        <v>1</v>
      </c>
      <c r="M17" t="n">
        <v>1</v>
      </c>
      <c r="N17" s="4" t="n">
        <v>0.87</v>
      </c>
      <c r="O17" s="4">
        <f>N17*L17</f>
        <v/>
      </c>
      <c r="Q17" t="inlineStr">
        <is>
          <t>https://www.vishay.com/docs/30100/wsl.pdf</t>
        </is>
      </c>
      <c r="R17" t="inlineStr"/>
    </row>
    <row r="18">
      <c r="A18" s="2" t="n">
        <v>1</v>
      </c>
      <c r="B18" s="2" t="inlineStr">
        <is>
          <t>RC2512FK-074R7L</t>
        </is>
      </c>
      <c r="C18" s="2" t="inlineStr">
        <is>
          <t>YAGEO</t>
        </is>
      </c>
      <c r="D18" s="2" t="inlineStr">
        <is>
          <t>CH_Card R86</t>
        </is>
      </c>
      <c r="E18" s="2" t="inlineStr">
        <is>
          <t>4R7 1W</t>
        </is>
      </c>
      <c r="F18" s="2" t="inlineStr">
        <is>
          <t>R_2512</t>
        </is>
      </c>
      <c r="G18" s="2" t="inlineStr">
        <is>
          <t>Res 4.7R 1% 1W (inrush limit)</t>
        </is>
      </c>
      <c r="H18" t="inlineStr">
        <is>
          <t>13-RC2512FK-074R7LTR-ND</t>
        </is>
      </c>
      <c r="I18" t="inlineStr">
        <is>
          <t>YAGEO</t>
        </is>
      </c>
      <c r="J18" t="n">
        <v>21346</v>
      </c>
      <c r="K18" t="inlineStr">
        <is>
          <t>Active</t>
        </is>
      </c>
      <c r="L18" t="n">
        <v>1</v>
      </c>
      <c r="M18" t="n">
        <v>1</v>
      </c>
      <c r="N18" s="4" t="n">
        <v>0.47</v>
      </c>
      <c r="O18" s="4">
        <f>N18*L18</f>
        <v/>
      </c>
      <c r="Q18" t="inlineStr">
        <is>
          <t>https://yageogroup.com/content/datasheet/asset/file/PYU-RC_GROUP_51_ROHS_L</t>
        </is>
      </c>
      <c r="R18" t="inlineStr"/>
    </row>
    <row r="19">
      <c r="A19" s="2" t="n">
        <v>4</v>
      </c>
      <c r="B19" s="2" t="inlineStr">
        <is>
          <t>RC0805FR-07100RL</t>
        </is>
      </c>
      <c r="C19" s="2" t="inlineStr">
        <is>
          <t>YAGEO</t>
        </is>
      </c>
      <c r="D19" s="2" t="inlineStr">
        <is>
          <t>CH_Card R111,R112,R113,R114</t>
        </is>
      </c>
      <c r="E19" s="2" t="inlineStr">
        <is>
          <t>100R</t>
        </is>
      </c>
      <c r="F19" s="2" t="inlineStr">
        <is>
          <t>R_0805</t>
        </is>
      </c>
      <c r="G19" s="2" t="inlineStr">
        <is>
          <t>Res 100R 1% (I2C series, DAC filters)</t>
        </is>
      </c>
      <c r="H19" t="inlineStr">
        <is>
          <t>311-100CRTR-ND</t>
        </is>
      </c>
      <c r="I19" t="inlineStr">
        <is>
          <t>YAGEO</t>
        </is>
      </c>
      <c r="J19" t="n">
        <v>223661</v>
      </c>
      <c r="K19" t="inlineStr">
        <is>
          <t>Active</t>
        </is>
      </c>
      <c r="L19" t="n">
        <v>4</v>
      </c>
      <c r="M19" t="n">
        <v>1</v>
      </c>
      <c r="N19" s="4" t="n">
        <v>0.1</v>
      </c>
      <c r="O19" s="4">
        <f>N19*L19</f>
        <v/>
      </c>
      <c r="Q19" t="inlineStr">
        <is>
          <t>https://yageogroup.com/content/datasheet/asset/file/PYU-RC_GROUP_51_ROHS_L</t>
        </is>
      </c>
      <c r="R19" t="inlineStr"/>
    </row>
    <row r="20">
      <c r="A20" s="2" t="n">
        <v>16</v>
      </c>
      <c r="B20" s="2" t="inlineStr">
        <is>
          <t>RC0805FR-0710KL</t>
        </is>
      </c>
      <c r="C20" s="2" t="inlineStr">
        <is>
          <t>YAGEO</t>
        </is>
      </c>
      <c r="D20" s="2" t="inlineStr">
        <is>
          <t>CH_Card R49,R79,R92,R96,R115,R120,R121,R122,R123,R124,R125,R127,R128,R129,R_f1,R_f2</t>
        </is>
      </c>
      <c r="E20" s="2" t="inlineStr">
        <is>
          <t>10k</t>
        </is>
      </c>
      <c r="F20" s="2" t="inlineStr">
        <is>
          <t>R_0805</t>
        </is>
      </c>
      <c r="G20" s="2" t="inlineStr">
        <is>
          <t>Res 10k 1% (pullups/pulldowns/sum/filters)</t>
        </is>
      </c>
      <c r="H20" t="inlineStr">
        <is>
          <t>311-10.0KCRTR-ND</t>
        </is>
      </c>
      <c r="I20" t="inlineStr">
        <is>
          <t>YAGEO</t>
        </is>
      </c>
      <c r="J20" t="n">
        <v>3418056</v>
      </c>
      <c r="K20" t="inlineStr">
        <is>
          <t>Active</t>
        </is>
      </c>
      <c r="L20" t="n">
        <v>16</v>
      </c>
      <c r="M20" t="n">
        <v>10</v>
      </c>
      <c r="N20" s="4" t="n">
        <v>0.034</v>
      </c>
      <c r="O20" s="4">
        <f>N20*L20</f>
        <v/>
      </c>
      <c r="Q20" t="inlineStr">
        <is>
          <t>https://yageogroup.com/content/datasheet/asset/file/PYU-RC_GROUP_51_ROHS_L</t>
        </is>
      </c>
      <c r="R20" t="inlineStr"/>
    </row>
    <row r="21">
      <c r="A21" s="2" t="n">
        <v>3</v>
      </c>
      <c r="B21" s="2" t="inlineStr">
        <is>
          <t>RC0805FR-0710RL</t>
        </is>
      </c>
      <c r="C21" s="2" t="inlineStr">
        <is>
          <t>YAGEO</t>
        </is>
      </c>
      <c r="D21" s="2" t="inlineStr">
        <is>
          <t>CH_Card R48,R116,R126</t>
        </is>
      </c>
      <c r="E21" s="2" t="inlineStr">
        <is>
          <t>10R</t>
        </is>
      </c>
      <c r="F21" s="2" t="inlineStr">
        <is>
          <t>R_0805</t>
        </is>
      </c>
      <c r="G21" s="2" t="inlineStr">
        <is>
          <t>Res 10R 1% (gate stop, rail filters)</t>
        </is>
      </c>
      <c r="H21" t="inlineStr">
        <is>
          <t>311-10.0CRTR-ND</t>
        </is>
      </c>
      <c r="I21" t="inlineStr">
        <is>
          <t>YAGEO</t>
        </is>
      </c>
      <c r="J21" t="n">
        <v>197539</v>
      </c>
      <c r="K21" t="inlineStr">
        <is>
          <t>Active</t>
        </is>
      </c>
      <c r="L21" t="n">
        <v>3</v>
      </c>
      <c r="M21" t="n">
        <v>1</v>
      </c>
      <c r="N21" s="4" t="n">
        <v>0.11</v>
      </c>
      <c r="O21" s="4">
        <f>N21*L21</f>
        <v/>
      </c>
      <c r="Q21" t="inlineStr">
        <is>
          <t>https://yageogroup.com/content/datasheet/asset/file/PYU-RC_GROUP_51_ROHS_L</t>
        </is>
      </c>
      <c r="R21" t="inlineStr"/>
    </row>
    <row r="22">
      <c r="A22" s="2" t="n">
        <v>11</v>
      </c>
      <c r="B22" s="2" t="inlineStr">
        <is>
          <t>RC0805FR-0747RL</t>
        </is>
      </c>
      <c r="C22" s="2" t="inlineStr">
        <is>
          <t>YAGEO</t>
        </is>
      </c>
      <c r="D22" s="2" t="inlineStr">
        <is>
          <t>CH_Card R56,R57,R58,R59,R68,R69,R70,R73,R74,R75,R76</t>
        </is>
      </c>
      <c r="E22" s="2" t="inlineStr">
        <is>
          <t>47R</t>
        </is>
      </c>
      <c r="F22" s="2" t="inlineStr">
        <is>
          <t>R_0805</t>
        </is>
      </c>
      <c r="G22" s="2" t="inlineStr">
        <is>
          <t>Res 47R 1% (gate/protection)</t>
        </is>
      </c>
      <c r="H22" t="inlineStr">
        <is>
          <t>311-47.0CRTR-ND</t>
        </is>
      </c>
      <c r="I22" t="inlineStr">
        <is>
          <t>YAGEO</t>
        </is>
      </c>
      <c r="J22" t="n">
        <v>224802</v>
      </c>
      <c r="K22" t="inlineStr">
        <is>
          <t>Active</t>
        </is>
      </c>
      <c r="L22" t="n">
        <v>11</v>
      </c>
      <c r="M22" t="n">
        <v>10</v>
      </c>
      <c r="N22" s="4" t="n">
        <v>0.034</v>
      </c>
      <c r="O22" s="4">
        <f>N22*L22</f>
        <v/>
      </c>
      <c r="Q22" t="inlineStr">
        <is>
          <t>https://yageogroup.com/content/datasheet/asset/file/PYU-RC_GROUP_51_ROHS_L</t>
        </is>
      </c>
      <c r="R22" t="inlineStr"/>
    </row>
    <row r="23">
      <c r="A23" s="2" t="n">
        <v>3</v>
      </c>
      <c r="B23" s="2" t="inlineStr">
        <is>
          <t>CRCW08051K00FKEA</t>
        </is>
      </c>
      <c r="C23" s="2" t="inlineStr">
        <is>
          <t>Vishay Dale</t>
        </is>
      </c>
      <c r="D23" s="2" t="inlineStr">
        <is>
          <t>CH_Card R42,R55,R94</t>
        </is>
      </c>
      <c r="E23" s="2" t="inlineStr">
        <is>
          <t>1k</t>
        </is>
      </c>
      <c r="F23" s="2" t="inlineStr">
        <is>
          <t>R_0805</t>
        </is>
      </c>
      <c r="G23" s="2" t="inlineStr">
        <is>
          <t>Res 1k 1% (divider, flag, parallel)</t>
        </is>
      </c>
      <c r="H23" t="inlineStr">
        <is>
          <t>541-1.00KCTR-ND</t>
        </is>
      </c>
      <c r="I23" t="inlineStr">
        <is>
          <t>Vishay Dale</t>
        </is>
      </c>
      <c r="J23" t="n">
        <v>860934</v>
      </c>
      <c r="K23" t="inlineStr">
        <is>
          <t>Active</t>
        </is>
      </c>
      <c r="L23" t="n">
        <v>3</v>
      </c>
      <c r="M23" t="n">
        <v>1</v>
      </c>
      <c r="N23" s="4" t="n">
        <v>0.1</v>
      </c>
      <c r="O23" s="4">
        <f>N23*L23</f>
        <v/>
      </c>
      <c r="Q23" t="inlineStr">
        <is>
          <t>https://www.vishay.com/docs/20035/dcrcwe3.pdf</t>
        </is>
      </c>
      <c r="R23" t="inlineStr"/>
    </row>
    <row r="24">
      <c r="A24" s="2" t="n">
        <v>1</v>
      </c>
      <c r="B24" s="2" t="inlineStr">
        <is>
          <t>RC0805FR-073K16L</t>
        </is>
      </c>
      <c r="C24" s="2" t="inlineStr">
        <is>
          <t>YAGEO</t>
        </is>
      </c>
      <c r="D24" s="2" t="inlineStr">
        <is>
          <t>CH_Card R41</t>
        </is>
      </c>
      <c r="E24" s="2" t="inlineStr">
        <is>
          <t>3.16k</t>
        </is>
      </c>
      <c r="F24" s="2" t="inlineStr">
        <is>
          <t>R_0805</t>
        </is>
      </c>
      <c r="G24" s="2" t="inlineStr">
        <is>
          <t>Res 3.16k 1% (VZERO divider top)</t>
        </is>
      </c>
      <c r="H24" t="inlineStr">
        <is>
          <t>311-3.16KCRTR-ND</t>
        </is>
      </c>
      <c r="I24" t="inlineStr">
        <is>
          <t>YAGEO</t>
        </is>
      </c>
      <c r="J24" t="n">
        <v>67206</v>
      </c>
      <c r="K24" t="inlineStr">
        <is>
          <t>Active</t>
        </is>
      </c>
      <c r="L24" t="n">
        <v>1</v>
      </c>
      <c r="M24" t="n">
        <v>1</v>
      </c>
      <c r="N24" s="4" t="n">
        <v>0.1</v>
      </c>
      <c r="O24" s="4">
        <f>N24*L24</f>
        <v/>
      </c>
      <c r="Q24" t="inlineStr">
        <is>
          <t>https://yageogroup.com/content/datasheet/asset/file/PYU-RC_GROUP_51_ROHS_L</t>
        </is>
      </c>
      <c r="R24" t="inlineStr"/>
    </row>
    <row r="25">
      <c r="A25" s="2" t="n">
        <v>1</v>
      </c>
      <c r="B25" s="2" t="inlineStr">
        <is>
          <t>RC0805FR-078K06L</t>
        </is>
      </c>
      <c r="C25" s="2" t="inlineStr">
        <is>
          <t>YAGEO</t>
        </is>
      </c>
      <c r="D25" s="2" t="inlineStr">
        <is>
          <t>CH_Card R102</t>
        </is>
      </c>
      <c r="E25" s="2" t="inlineStr">
        <is>
          <t>8.06k</t>
        </is>
      </c>
      <c r="F25" s="2" t="inlineStr">
        <is>
          <t>R_0805</t>
        </is>
      </c>
      <c r="G25" s="2" t="inlineStr">
        <is>
          <t>Res 8.06k 1% (INA826 gain, TEC)</t>
        </is>
      </c>
      <c r="H25" t="inlineStr">
        <is>
          <t>311-8.06KCRTR-ND</t>
        </is>
      </c>
      <c r="I25" t="inlineStr">
        <is>
          <t>YAGEO</t>
        </is>
      </c>
      <c r="J25" t="n">
        <v>73351</v>
      </c>
      <c r="K25" t="inlineStr">
        <is>
          <t>Active</t>
        </is>
      </c>
      <c r="L25" t="n">
        <v>1</v>
      </c>
      <c r="M25" t="n">
        <v>1</v>
      </c>
      <c r="N25" s="4" t="n">
        <v>0.1</v>
      </c>
      <c r="O25" s="4">
        <f>N25*L25</f>
        <v/>
      </c>
      <c r="Q25" t="inlineStr">
        <is>
          <t>https://yageogroup.com/content/datasheet/asset/file/PYU-RC_GROUP_51_ROHS_L</t>
        </is>
      </c>
      <c r="R25" t="inlineStr"/>
    </row>
    <row r="26">
      <c r="A26" s="2" t="n">
        <v>1</v>
      </c>
      <c r="B26" s="2" t="inlineStr">
        <is>
          <t>RC0805FR-07487RL</t>
        </is>
      </c>
      <c r="C26" s="2" t="inlineStr">
        <is>
          <t>YAGEO</t>
        </is>
      </c>
      <c r="D26" s="2" t="inlineStr">
        <is>
          <t>CH_Card R98</t>
        </is>
      </c>
      <c r="E26" s="2" t="inlineStr">
        <is>
          <t>487R</t>
        </is>
      </c>
      <c r="F26" s="2" t="inlineStr">
        <is>
          <t>R_0805</t>
        </is>
      </c>
      <c r="G26" s="2" t="inlineStr">
        <is>
          <t>Res 487R 1% (INA826 gain, laser)</t>
        </is>
      </c>
      <c r="H26" t="inlineStr">
        <is>
          <t>311-487CRTR-ND</t>
        </is>
      </c>
      <c r="I26" t="inlineStr">
        <is>
          <t>YAGEO</t>
        </is>
      </c>
      <c r="J26" t="n">
        <v>43477</v>
      </c>
      <c r="K26" t="inlineStr">
        <is>
          <t>Active</t>
        </is>
      </c>
      <c r="L26" t="n">
        <v>1</v>
      </c>
      <c r="M26" t="n">
        <v>1</v>
      </c>
      <c r="N26" s="4" t="n">
        <v>0.1</v>
      </c>
      <c r="O26" s="4">
        <f>N26*L26</f>
        <v/>
      </c>
      <c r="Q26" t="inlineStr">
        <is>
          <t>https://yageogroup.com/content/datasheet/asset/file/PYU-RC_GROUP_51_ROHS_L</t>
        </is>
      </c>
      <c r="R26" t="inlineStr"/>
    </row>
    <row r="27">
      <c r="A27" s="2" t="n">
        <v>1</v>
      </c>
      <c r="B27" s="2" t="inlineStr">
        <is>
          <t>RC0805FR-07100KL</t>
        </is>
      </c>
      <c r="C27" s="2" t="inlineStr">
        <is>
          <t>YAGEO</t>
        </is>
      </c>
      <c r="D27" s="2" t="inlineStr">
        <is>
          <t>CH_Card R_bias1</t>
        </is>
      </c>
      <c r="E27" s="2" t="inlineStr">
        <is>
          <t>100k</t>
        </is>
      </c>
      <c r="F27" s="2" t="inlineStr">
        <is>
          <t>R_0805</t>
        </is>
      </c>
      <c r="G27" s="2" t="inlineStr">
        <is>
          <t>Res 100k 1% (PD bias)</t>
        </is>
      </c>
      <c r="H27" t="inlineStr">
        <is>
          <t>311-100KCRTR-ND</t>
        </is>
      </c>
      <c r="I27" t="inlineStr">
        <is>
          <t>YAGEO</t>
        </is>
      </c>
      <c r="J27" t="n">
        <v>760267</v>
      </c>
      <c r="K27" t="inlineStr">
        <is>
          <t>Active</t>
        </is>
      </c>
      <c r="L27" t="n">
        <v>1</v>
      </c>
      <c r="M27" t="n">
        <v>1</v>
      </c>
      <c r="N27" s="4" t="n">
        <v>0.1</v>
      </c>
      <c r="O27" s="4">
        <f>N27*L27</f>
        <v/>
      </c>
      <c r="Q27" t="inlineStr">
        <is>
          <t>https://yageogroup.com/content/datasheet/asset/file/PYU-RC_GROUP_51_ROHS_L</t>
        </is>
      </c>
      <c r="R27" t="inlineStr"/>
    </row>
    <row r="28">
      <c r="A28" s="2" t="n">
        <v>1</v>
      </c>
      <c r="B28" s="2" t="inlineStr">
        <is>
          <t>RC0805FR-072KL</t>
        </is>
      </c>
      <c r="C28" s="2" t="inlineStr">
        <is>
          <t>YAGEO</t>
        </is>
      </c>
      <c r="D28" s="2" t="inlineStr">
        <is>
          <t>CH_Card R77</t>
        </is>
      </c>
      <c r="E28" s="2" t="inlineStr">
        <is>
          <t>2k</t>
        </is>
      </c>
      <c r="F28" s="2" t="inlineStr">
        <is>
          <t>R_0805</t>
        </is>
      </c>
      <c r="G28" s="2" t="inlineStr">
        <is>
          <t>Res 2k 1% (trim)</t>
        </is>
      </c>
      <c r="H28" t="inlineStr">
        <is>
          <t>311-2.00KCRTR-ND</t>
        </is>
      </c>
      <c r="I28" t="inlineStr">
        <is>
          <t>YAGEO</t>
        </is>
      </c>
      <c r="J28" t="n">
        <v>249333</v>
      </c>
      <c r="K28" t="inlineStr">
        <is>
          <t>Active</t>
        </is>
      </c>
      <c r="L28" t="n">
        <v>1</v>
      </c>
      <c r="M28" t="n">
        <v>1</v>
      </c>
      <c r="N28" s="4" t="n">
        <v>0.1</v>
      </c>
      <c r="O28" s="4">
        <f>N28*L28</f>
        <v/>
      </c>
      <c r="Q28" t="inlineStr">
        <is>
          <t>https://yageogroup.com/content/datasheet/asset/file/PYU-RC_GROUP_51_ROHS_L</t>
        </is>
      </c>
      <c r="R28" t="inlineStr"/>
    </row>
    <row r="29">
      <c r="A29" s="2" t="n">
        <v>1</v>
      </c>
      <c r="B29" s="2" t="inlineStr">
        <is>
          <t>ERA-6AEB103V</t>
        </is>
      </c>
      <c r="C29" s="2" t="inlineStr">
        <is>
          <t>Panasonic Industry</t>
        </is>
      </c>
      <c r="D29" s="2" t="inlineStr">
        <is>
          <t>CH_Card R_NTC1</t>
        </is>
      </c>
      <c r="E29" s="2" t="inlineStr">
        <is>
          <t>10k 0.1%</t>
        </is>
      </c>
      <c r="F29" s="2" t="inlineStr">
        <is>
          <t>R_0805</t>
        </is>
      </c>
      <c r="G29" s="2" t="inlineStr">
        <is>
          <t>Res 10k 0.1% (NTC pullup; same as pm1p8V)</t>
        </is>
      </c>
      <c r="H29" t="inlineStr">
        <is>
          <t>P10KDATR-ND</t>
        </is>
      </c>
      <c r="I29" t="inlineStr">
        <is>
          <t>Panasonic Industry</t>
        </is>
      </c>
      <c r="J29" t="n">
        <v>170474</v>
      </c>
      <c r="K29" t="inlineStr">
        <is>
          <t>Active</t>
        </is>
      </c>
      <c r="L29" t="n">
        <v>1</v>
      </c>
      <c r="M29" t="n">
        <v>1</v>
      </c>
      <c r="N29" s="4" t="n">
        <v>0.1</v>
      </c>
      <c r="O29" s="4">
        <f>N29*L29</f>
        <v/>
      </c>
      <c r="Q29" t="inlineStr">
        <is>
          <t>https://industrial.panasonic.com/cdbs/www-data/pdf/RDM0000/AOA0000C307.pdf</t>
        </is>
      </c>
      <c r="R29" t="inlineStr"/>
    </row>
    <row r="30">
      <c r="A30" s="2" t="n">
        <v>2</v>
      </c>
      <c r="B30" s="2" t="inlineStr">
        <is>
          <t>ERA-6AEB203V</t>
        </is>
      </c>
      <c r="C30" s="2" t="inlineStr">
        <is>
          <t>Panasonic Industry</t>
        </is>
      </c>
      <c r="D30" s="2" t="inlineStr">
        <is>
          <t>CH_Card R43,R45</t>
        </is>
      </c>
      <c r="E30" s="2" t="inlineStr">
        <is>
          <t>20k 0.1%</t>
        </is>
      </c>
      <c r="F30" s="2" t="inlineStr">
        <is>
          <t>R_0805</t>
        </is>
      </c>
      <c r="G30" s="2" t="inlineStr">
        <is>
          <t>Res 20k 0.1% (TEC scaler bottom)</t>
        </is>
      </c>
      <c r="H30" t="inlineStr">
        <is>
          <t>P20KDATR-ND</t>
        </is>
      </c>
      <c r="I30" t="inlineStr">
        <is>
          <t>Panasonic Industry</t>
        </is>
      </c>
      <c r="J30" t="n">
        <v>108045</v>
      </c>
      <c r="K30" t="inlineStr">
        <is>
          <t>Active</t>
        </is>
      </c>
      <c r="L30" t="n">
        <v>2</v>
      </c>
      <c r="M30" t="n">
        <v>1</v>
      </c>
      <c r="N30" s="4" t="n">
        <v>0.1</v>
      </c>
      <c r="O30" s="4">
        <f>N30*L30</f>
        <v/>
      </c>
      <c r="Q30" t="inlineStr">
        <is>
          <t>https://industrial.panasonic.com/cdbs/www-data/pdf/RDM0000/AOA0000C307.pdf</t>
        </is>
      </c>
      <c r="R30" t="inlineStr"/>
    </row>
    <row r="31">
      <c r="A31" s="2" t="n">
        <v>1</v>
      </c>
      <c r="B31" s="2" t="inlineStr">
        <is>
          <t>ERA-6AEB204V</t>
        </is>
      </c>
      <c r="C31" s="2" t="inlineStr">
        <is>
          <t>Panasonic Industry</t>
        </is>
      </c>
      <c r="D31" s="2" t="inlineStr">
        <is>
          <t>CH_Card R66</t>
        </is>
      </c>
      <c r="E31" s="2" t="inlineStr">
        <is>
          <t>200k 0.1%</t>
        </is>
      </c>
      <c r="F31" s="2" t="inlineStr">
        <is>
          <t>R_0805</t>
        </is>
      </c>
      <c r="G31" s="2" t="inlineStr">
        <is>
          <t>Res 200k 0.1% (laser scaler top)</t>
        </is>
      </c>
      <c r="H31" t="inlineStr">
        <is>
          <t>P200KDATR-ND</t>
        </is>
      </c>
      <c r="I31" t="inlineStr">
        <is>
          <t>Panasonic Industry</t>
        </is>
      </c>
      <c r="J31" t="n">
        <v>384782</v>
      </c>
      <c r="K31" t="inlineStr">
        <is>
          <t>Active</t>
        </is>
      </c>
      <c r="L31" t="n">
        <v>1</v>
      </c>
      <c r="M31" t="n">
        <v>1</v>
      </c>
      <c r="N31" s="4" t="n">
        <v>0.1</v>
      </c>
      <c r="O31" s="4">
        <f>N31*L31</f>
        <v/>
      </c>
      <c r="Q31" t="inlineStr">
        <is>
          <t>https://industrial.panasonic.com/cdbs/www-data/pdf/RDM0000/AOA0000C307.pdf</t>
        </is>
      </c>
      <c r="R31" t="inlineStr"/>
    </row>
    <row r="32">
      <c r="A32" s="2" t="n">
        <v>4</v>
      </c>
      <c r="B32" s="2" t="inlineStr">
        <is>
          <t>TNPW08054K99BEEA</t>
        </is>
      </c>
      <c r="C32" s="2" t="inlineStr">
        <is>
          <t>Vishay Dale</t>
        </is>
      </c>
      <c r="D32" s="2" t="inlineStr">
        <is>
          <t>CH_Card R44,R117,R118,R119</t>
        </is>
      </c>
      <c r="E32" s="2" t="inlineStr">
        <is>
          <t>4.99k 0.1%</t>
        </is>
      </c>
      <c r="F32" s="2" t="inlineStr">
        <is>
          <t>R_0805</t>
        </is>
      </c>
      <c r="G32" s="2" t="inlineStr">
        <is>
          <t>Res 4.99k 0.1% (TEC scaler top, VZERO trim, ADC prot) - ERA-6AEB4991V 0 stock</t>
        </is>
      </c>
      <c r="H32" t="inlineStr">
        <is>
          <t>TNP4.99KABTR-ND</t>
        </is>
      </c>
      <c r="I32" t="inlineStr">
        <is>
          <t>Vishay Dale</t>
        </is>
      </c>
      <c r="J32" t="n">
        <v>23385</v>
      </c>
      <c r="K32" t="inlineStr">
        <is>
          <t>Active</t>
        </is>
      </c>
      <c r="L32" t="n">
        <v>4</v>
      </c>
      <c r="M32" t="n">
        <v>1</v>
      </c>
      <c r="N32" s="4" t="n">
        <v>0.41</v>
      </c>
      <c r="O32" s="4">
        <f>N32*L32</f>
        <v/>
      </c>
      <c r="Q32" t="inlineStr">
        <is>
          <t>https://www.vishay.com/docs/28758/tnpw_e3.pdf</t>
        </is>
      </c>
      <c r="R32" t="inlineStr"/>
    </row>
    <row r="33">
      <c r="A33" s="2" t="n">
        <v>1</v>
      </c>
      <c r="B33" s="2" t="inlineStr">
        <is>
          <t>TNPW08051K00BEEA</t>
        </is>
      </c>
      <c r="C33" s="2" t="inlineStr">
        <is>
          <t>Vishay Dale</t>
        </is>
      </c>
      <c r="D33" s="2" t="inlineStr">
        <is>
          <t>CH_Card R67</t>
        </is>
      </c>
      <c r="E33" s="2" t="inlineStr">
        <is>
          <t>1k 0.1%</t>
        </is>
      </c>
      <c r="F33" s="2" t="inlineStr">
        <is>
          <t>R_0805</t>
        </is>
      </c>
      <c r="G33" s="2" t="inlineStr">
        <is>
          <t>Res 1k 0.1% (laser scaler bottom) - ERA-6AEB102V 0 stock</t>
        </is>
      </c>
      <c r="H33" t="inlineStr">
        <is>
          <t>TNP1.00KABTR-ND</t>
        </is>
      </c>
      <c r="I33" t="inlineStr">
        <is>
          <t>Vishay Dale</t>
        </is>
      </c>
      <c r="J33" t="n">
        <v>19030</v>
      </c>
      <c r="K33" t="inlineStr">
        <is>
          <t>Active</t>
        </is>
      </c>
      <c r="L33" t="n">
        <v>1</v>
      </c>
      <c r="M33" t="n">
        <v>1</v>
      </c>
      <c r="N33" s="4" t="n">
        <v>0.41</v>
      </c>
      <c r="O33" s="4">
        <f>N33*L33</f>
        <v/>
      </c>
      <c r="Q33" t="inlineStr">
        <is>
          <t>https://www.vishay.com/docs/28758/tnpw_e3.pdf</t>
        </is>
      </c>
      <c r="R33" t="inlineStr"/>
    </row>
    <row r="34">
      <c r="A34" s="2" t="n">
        <v>37</v>
      </c>
      <c r="B34" s="2" t="inlineStr">
        <is>
          <t>CL21B104KBCNNNC</t>
        </is>
      </c>
      <c r="C34" s="2" t="inlineStr">
        <is>
          <t>Samsung Electro-Mechanics</t>
        </is>
      </c>
      <c r="D34" s="2" t="inlineStr">
        <is>
          <t>CH_Card C65,C66,C_NTC1,C116,C117,C118,C122,C123,C130,C131,C132,C133,C134,C135,C136,C137,C138,C139,C140,C141,C142,C143,C144,C145,C146,C147,C148,C149,C152,C153,C155,C156,C158,C161,C164,C165,C166</t>
        </is>
      </c>
      <c r="E34" s="2" t="inlineStr">
        <is>
          <t>100nF</t>
        </is>
      </c>
      <c r="F34" s="2" t="inlineStr">
        <is>
          <t>C_0805</t>
        </is>
      </c>
      <c r="G34" s="2" t="inlineStr">
        <is>
          <t>MLCC 100nF 50V X7R (decoupling bank + misc; same as pm1p8V)</t>
        </is>
      </c>
      <c r="H34" t="inlineStr">
        <is>
          <t>1276-1003-2-ND</t>
        </is>
      </c>
      <c r="I34" t="inlineStr">
        <is>
          <t>Samsung Electro-Mechanics</t>
        </is>
      </c>
      <c r="J34" t="n">
        <v>7506957</v>
      </c>
      <c r="K34" t="inlineStr">
        <is>
          <t>Active</t>
        </is>
      </c>
      <c r="L34" t="n">
        <v>37</v>
      </c>
      <c r="M34" t="n">
        <v>10</v>
      </c>
      <c r="N34" s="4" t="n">
        <v>0.038</v>
      </c>
      <c r="O34" s="4">
        <f>N34*L34</f>
        <v/>
      </c>
      <c r="Q34" t="inlineStr">
        <is>
          <t>//mm.digikey.com/Volume0/opasdata/d220001/medias/docus/609/CL21B104KBCNNN_Spec.pdf</t>
        </is>
      </c>
      <c r="R34" t="inlineStr"/>
    </row>
    <row r="35">
      <c r="A35" s="2" t="n">
        <v>2</v>
      </c>
      <c r="B35" s="2" t="inlineStr">
        <is>
          <t>C0805C105K5RACTU</t>
        </is>
      </c>
      <c r="C35" s="2" t="inlineStr">
        <is>
          <t>KEMET</t>
        </is>
      </c>
      <c r="D35" s="2" t="inlineStr">
        <is>
          <t>CH_Card C113,C114</t>
        </is>
      </c>
      <c r="E35" s="2" t="inlineStr">
        <is>
          <t>1uF</t>
        </is>
      </c>
      <c r="F35" s="2" t="inlineStr">
        <is>
          <t>C_0805</t>
        </is>
      </c>
      <c r="G35" s="2" t="inlineStr">
        <is>
          <t>MLCC 1uF 50V X7R (DAC output filters; same as pm1p8V)</t>
        </is>
      </c>
      <c r="H35" t="inlineStr">
        <is>
          <t>399-C0805C105K5RACTUTR-ND</t>
        </is>
      </c>
      <c r="I35" t="inlineStr">
        <is>
          <t>KEMET</t>
        </is>
      </c>
      <c r="J35" t="n">
        <v>144665</v>
      </c>
      <c r="K35" t="inlineStr">
        <is>
          <t>Active</t>
        </is>
      </c>
      <c r="L35" t="n">
        <v>2</v>
      </c>
      <c r="M35" t="n">
        <v>1</v>
      </c>
      <c r="N35" s="4" t="n">
        <v>0.87</v>
      </c>
      <c r="O35" s="4">
        <f>N35*L35</f>
        <v/>
      </c>
      <c r="Q35" t="inlineStr">
        <is>
          <t>https://yageogroup.com/content/datasheet/asset/file/KEM_C1002_X7R_SMD</t>
        </is>
      </c>
      <c r="R35" t="inlineStr"/>
    </row>
    <row r="36">
      <c r="A36" s="2" t="n">
        <v>8</v>
      </c>
      <c r="B36" s="2" t="inlineStr">
        <is>
          <t>C0805C106K3PACTU</t>
        </is>
      </c>
      <c r="C36" s="2" t="inlineStr">
        <is>
          <t>KEMET</t>
        </is>
      </c>
      <c r="D36" s="2" t="inlineStr">
        <is>
          <t>CH_Card C115,C121,C150,C151,C154,C157,C160,C163</t>
        </is>
      </c>
      <c r="E36" s="2" t="inlineStr">
        <is>
          <t>10uF</t>
        </is>
      </c>
      <c r="F36" s="2" t="inlineStr">
        <is>
          <t>C_0805</t>
        </is>
      </c>
      <c r="G36" s="2" t="inlineStr">
        <is>
          <t>MLCC 10uF 25V X5R (rail bulk; same as pm1p8V)</t>
        </is>
      </c>
      <c r="H36" t="inlineStr">
        <is>
          <t>399-11939-2-ND</t>
        </is>
      </c>
      <c r="I36" t="inlineStr">
        <is>
          <t>KEMET</t>
        </is>
      </c>
      <c r="J36" t="n">
        <v>215140</v>
      </c>
      <c r="K36" t="inlineStr">
        <is>
          <t>Active</t>
        </is>
      </c>
      <c r="L36" t="n">
        <v>8</v>
      </c>
      <c r="M36" t="n">
        <v>1</v>
      </c>
      <c r="N36" s="4" t="n">
        <v>0.24</v>
      </c>
      <c r="O36" s="4">
        <f>N36*L36</f>
        <v/>
      </c>
      <c r="Q36" t="inlineStr">
        <is>
          <t>https://yageogroup.com/content/datasheet/asset/file/KEM_C1006_X5R_SMD</t>
        </is>
      </c>
      <c r="R36" t="inlineStr"/>
    </row>
    <row r="37">
      <c r="A37" s="2" t="n">
        <v>2</v>
      </c>
      <c r="B37" s="2" t="inlineStr">
        <is>
          <t>1210YD107MAT2A</t>
        </is>
      </c>
      <c r="C37" s="2" t="inlineStr">
        <is>
          <t>KYOCERA AVX</t>
        </is>
      </c>
      <c r="D37" s="2" t="inlineStr">
        <is>
          <t>CH_Card C159,C162</t>
        </is>
      </c>
      <c r="E37" s="2" t="inlineStr">
        <is>
          <t>100uF</t>
        </is>
      </c>
      <c r="F37" s="2" t="inlineStr">
        <is>
          <t>C_1210</t>
        </is>
      </c>
      <c r="G37" s="2" t="inlineStr">
        <is>
          <t>MLCC 100uF 16V X5R (+/-6V_TEC bulk; same as pm1p8V)</t>
        </is>
      </c>
      <c r="H37" t="inlineStr">
        <is>
          <t>478-11408-2-ND</t>
        </is>
      </c>
      <c r="I37" t="inlineStr">
        <is>
          <t>KYOCERA AVX</t>
        </is>
      </c>
      <c r="J37" t="n">
        <v>4559</v>
      </c>
      <c r="K37" t="inlineStr">
        <is>
          <t>Active</t>
        </is>
      </c>
      <c r="L37" t="n">
        <v>2</v>
      </c>
      <c r="M37" t="n">
        <v>1</v>
      </c>
      <c r="N37" s="4" t="n">
        <v>2.45</v>
      </c>
      <c r="O37" s="4">
        <f>N37*L37</f>
        <v/>
      </c>
      <c r="Q37" t="inlineStr">
        <is>
          <t>https://datasheets.kyocera-avx.com/cx5r.pdf</t>
        </is>
      </c>
      <c r="R37" t="inlineStr"/>
    </row>
    <row r="38">
      <c r="A38" s="2" t="n">
        <v>2</v>
      </c>
      <c r="B38" s="2" t="inlineStr">
        <is>
          <t>CL21B103KBANNNC</t>
        </is>
      </c>
      <c r="C38" s="2" t="inlineStr">
        <is>
          <t>Samsung Electro-Mechanics</t>
        </is>
      </c>
      <c r="D38" s="2" t="inlineStr">
        <is>
          <t>CH_Card C119,C120</t>
        </is>
      </c>
      <c r="E38" s="2" t="inlineStr">
        <is>
          <t>10nF</t>
        </is>
      </c>
      <c r="F38" s="2" t="inlineStr">
        <is>
          <t>C_0805</t>
        </is>
      </c>
      <c r="G38" s="2" t="inlineStr">
        <is>
          <t>MLCC 10nF 50V X7R (ADC input filters)</t>
        </is>
      </c>
      <c r="H38" t="inlineStr">
        <is>
          <t>1276-1015-2-ND</t>
        </is>
      </c>
      <c r="I38" t="inlineStr">
        <is>
          <t>Samsung Electro-Mechanics</t>
        </is>
      </c>
      <c r="J38" t="n">
        <v>2434688</v>
      </c>
      <c r="K38" t="inlineStr">
        <is>
          <t>Active</t>
        </is>
      </c>
      <c r="L38" t="n">
        <v>2</v>
      </c>
      <c r="M38" t="n">
        <v>1</v>
      </c>
      <c r="N38" s="4" t="n">
        <v>0.1</v>
      </c>
      <c r="O38" s="4">
        <f>N38*L38</f>
        <v/>
      </c>
      <c r="Q38" t="inlineStr">
        <is>
          <t>https://www.samsungsem.com/kr/support/product-search/mlcc/CL21B103KBANNNC.jsp</t>
        </is>
      </c>
      <c r="R38" t="inlineStr"/>
    </row>
    <row r="39">
      <c r="A39" s="2" t="n">
        <v>1</v>
      </c>
      <c r="B39" s="2" t="inlineStr">
        <is>
          <t>C0805C103J5GACTU</t>
        </is>
      </c>
      <c r="C39" s="2" t="inlineStr">
        <is>
          <t>KEMET</t>
        </is>
      </c>
      <c r="D39" s="2" t="inlineStr">
        <is>
          <t>CH_Card C70</t>
        </is>
      </c>
      <c r="E39" s="2" t="inlineStr">
        <is>
          <t>10nF C0G</t>
        </is>
      </c>
      <c r="F39" s="2" t="inlineStr">
        <is>
          <t>C_0805</t>
        </is>
      </c>
      <c r="G39" s="2" t="inlineStr">
        <is>
          <t>MLCC 10nF 50V C0G (laser filter)</t>
        </is>
      </c>
      <c r="H39" t="inlineStr">
        <is>
          <t>399-C0805C103J5GACTUTR-ND</t>
        </is>
      </c>
      <c r="I39" t="inlineStr">
        <is>
          <t>KEMET</t>
        </is>
      </c>
      <c r="J39" t="n">
        <v>40958</v>
      </c>
      <c r="K39" t="inlineStr">
        <is>
          <t>Active</t>
        </is>
      </c>
      <c r="L39" t="n">
        <v>1</v>
      </c>
      <c r="M39" t="n">
        <v>1</v>
      </c>
      <c r="N39" s="4" t="n">
        <v>0.65</v>
      </c>
      <c r="O39" s="4">
        <f>N39*L39</f>
        <v/>
      </c>
      <c r="Q39" t="inlineStr">
        <is>
          <t>https://yageogroup.com/content/datasheet/asset/file/KEM_C1003_C0G_SMD</t>
        </is>
      </c>
      <c r="R39" t="inlineStr"/>
    </row>
    <row r="40">
      <c r="A40" s="2" t="n">
        <v>1</v>
      </c>
      <c r="B40" s="2" t="inlineStr">
        <is>
          <t>CL21B102KBANNNC</t>
        </is>
      </c>
      <c r="C40" s="2" t="inlineStr">
        <is>
          <t>Samsung Electro-Mechanics</t>
        </is>
      </c>
      <c r="D40" s="2" t="inlineStr">
        <is>
          <t>CH_Card C76</t>
        </is>
      </c>
      <c r="E40" s="2" t="inlineStr">
        <is>
          <t>1nF</t>
        </is>
      </c>
      <c r="F40" s="2" t="inlineStr">
        <is>
          <t>C_0805</t>
        </is>
      </c>
      <c r="G40" s="2" t="inlineStr">
        <is>
          <t>MLCC 1nF 50V X7R (lock integrator Ci)</t>
        </is>
      </c>
      <c r="H40" t="inlineStr">
        <is>
          <t>1276-1020-2-ND</t>
        </is>
      </c>
      <c r="I40" t="inlineStr">
        <is>
          <t>Samsung Electro-Mechanics</t>
        </is>
      </c>
      <c r="J40" t="n">
        <v>1394604</v>
      </c>
      <c r="K40" t="inlineStr">
        <is>
          <t>Active</t>
        </is>
      </c>
      <c r="L40" t="n">
        <v>1</v>
      </c>
      <c r="M40" t="n">
        <v>1</v>
      </c>
      <c r="N40" s="4" t="n">
        <v>0.1</v>
      </c>
      <c r="O40" s="4">
        <f>N40*L40</f>
        <v/>
      </c>
      <c r="Q40" t="inlineStr">
        <is>
          <t>//mm.digikey.com/Volume0/opasdata/d220001/medias/docus/8923/DataSheet_CL21B102KBANNN_20260513.pdf</t>
        </is>
      </c>
      <c r="R40" t="inlineStr"/>
    </row>
    <row r="41">
      <c r="A41" s="2" t="n">
        <v>1</v>
      </c>
      <c r="B41" s="2" t="inlineStr">
        <is>
          <t>CL21C101JBANNNC</t>
        </is>
      </c>
      <c r="C41" s="2" t="inlineStr">
        <is>
          <t>Samsung Electro-Mechanics</t>
        </is>
      </c>
      <c r="D41" s="2" t="inlineStr">
        <is>
          <t>CH_Card C68</t>
        </is>
      </c>
      <c r="E41" s="2" t="inlineStr">
        <is>
          <t>100pF NP0</t>
        </is>
      </c>
      <c r="F41" s="2" t="inlineStr">
        <is>
          <t>C_0805</t>
        </is>
      </c>
      <c r="G41" s="2" t="inlineStr">
        <is>
          <t>MLCC 100pF 50V C0G (comp)</t>
        </is>
      </c>
      <c r="H41" t="inlineStr">
        <is>
          <t>1276-1014-2-ND</t>
        </is>
      </c>
      <c r="I41" t="inlineStr">
        <is>
          <t>Samsung Electro-Mechanics</t>
        </is>
      </c>
      <c r="J41" t="n">
        <v>188189</v>
      </c>
      <c r="K41" t="inlineStr">
        <is>
          <t>Active</t>
        </is>
      </c>
      <c r="L41" t="n">
        <v>1</v>
      </c>
      <c r="M41" t="n">
        <v>1</v>
      </c>
      <c r="N41" s="4" t="n">
        <v>0.1</v>
      </c>
      <c r="O41" s="4">
        <f>N41*L41</f>
        <v/>
      </c>
      <c r="Q41" t="inlineStr">
        <is>
          <t>//mm.digikey.com/Volume0/opasdata/d220001/medias/docus/609/CL21C101JBANNNC_Spec.pdf</t>
        </is>
      </c>
      <c r="R41" t="inlineStr"/>
    </row>
    <row r="42">
      <c r="A42" s="2" t="n">
        <v>2</v>
      </c>
      <c r="B42" s="2" t="inlineStr">
        <is>
          <t>GRM1555C1H2R2CA01D</t>
        </is>
      </c>
      <c r="C42" s="2" t="inlineStr">
        <is>
          <t>Murata Electronics</t>
        </is>
      </c>
      <c r="D42" s="2" t="inlineStr">
        <is>
          <t>CH_Card C_f1,C_f2</t>
        </is>
      </c>
      <c r="E42" s="2" t="inlineStr">
        <is>
          <t>2.2pF</t>
        </is>
      </c>
      <c r="F42" s="2" t="inlineStr">
        <is>
          <t>C_0402</t>
        </is>
      </c>
      <c r="G42" s="2" t="inlineStr">
        <is>
          <t>MLCC 2.2pF 50V C0G 0402 (TIA feedback; CL05C2R2CB5NNNC obsolete)</t>
        </is>
      </c>
      <c r="H42" t="inlineStr">
        <is>
          <t>490-5932-2-ND</t>
        </is>
      </c>
      <c r="I42" t="inlineStr">
        <is>
          <t>Murata Electronics</t>
        </is>
      </c>
      <c r="J42" t="n">
        <v>308684</v>
      </c>
      <c r="K42" t="inlineStr">
        <is>
          <t>Active</t>
        </is>
      </c>
      <c r="L42" t="n">
        <v>2</v>
      </c>
      <c r="M42" t="n">
        <v>1</v>
      </c>
      <c r="N42" s="4" t="n">
        <v>0.1</v>
      </c>
      <c r="O42" s="4">
        <f>N42*L42</f>
        <v/>
      </c>
      <c r="Q42" t="inlineStr">
        <is>
          <t>//mm.digikey.com/Volume0/opasdata/d220001/medias/docus/8942/490_Chip_Multilayer_CAT2021_MLCC.pdf</t>
        </is>
      </c>
      <c r="R42" t="inlineStr"/>
    </row>
    <row r="43">
      <c r="A43" s="2" t="n">
        <v>1</v>
      </c>
      <c r="B43" s="2" t="inlineStr">
        <is>
          <t>374144-E</t>
        </is>
      </c>
      <c r="C43" s="2" t="inlineStr">
        <is>
          <t>TE Connectivity AMP</t>
        </is>
      </c>
      <c r="D43" s="2" t="inlineStr">
        <is>
          <t>CH_Card J1</t>
        </is>
      </c>
      <c r="E43" s="2" t="inlineStr">
        <is>
          <t>DIN41612 M 3x8+8</t>
        </is>
      </c>
      <c r="F43" s="2" t="inlineStr">
        <is>
          <t>DIN41612_M_Power_Male</t>
        </is>
      </c>
      <c r="G43" s="2" t="inlineStr">
        <is>
          <t>DIN41612 Type M 24sig+8pwr R/A male (same as pm6V/pm1p8V) - 0 STOCK, check lead time</t>
        </is>
      </c>
      <c r="H43" t="inlineStr">
        <is>
          <t>2684-374144-E-ND</t>
        </is>
      </c>
      <c r="I43" t="inlineStr">
        <is>
          <t>TE Connectivity Erni</t>
        </is>
      </c>
      <c r="J43" t="n">
        <v>0</v>
      </c>
      <c r="K43" t="inlineStr">
        <is>
          <t>Active</t>
        </is>
      </c>
      <c r="L43" t="n">
        <v>1</v>
      </c>
      <c r="M43" t="n">
        <v>1</v>
      </c>
      <c r="N43" s="4" t="n">
        <v>10.31</v>
      </c>
      <c r="O43" s="4">
        <f>N43*L43</f>
        <v/>
      </c>
      <c r="Q43" t="inlineStr">
        <is>
          <t>https://www.erni.com/fileadmin/import/products/assets/DC0006731.PDF</t>
        </is>
      </c>
      <c r="R43" t="inlineStr">
        <is>
          <t>LOW STOCK (0 &lt; 1)</t>
        </is>
      </c>
    </row>
    <row r="44">
      <c r="A44" s="2" t="n">
        <v>1</v>
      </c>
      <c r="B44" s="2" t="inlineStr">
        <is>
          <t>SFH11-PBPC-D07-ST-BK</t>
        </is>
      </c>
      <c r="C44" s="2" t="inlineStr">
        <is>
          <t>Sullins Connector</t>
        </is>
      </c>
      <c r="D44" s="2" t="inlineStr">
        <is>
          <t>CH_Card J_BTF1</t>
        </is>
      </c>
      <c r="E44" s="2" t="inlineStr">
        <is>
          <t>2x7 socket</t>
        </is>
      </c>
      <c r="F44" s="2" t="inlineStr">
        <is>
          <t>PinSocket_2x07</t>
        </is>
      </c>
      <c r="G44" s="2" t="inlineStr">
        <is>
          <t>Socket 2x7 2.54mm gold (butterfly laser; PPTC072LFBN-RC 0 stock)</t>
        </is>
      </c>
      <c r="H44" t="inlineStr">
        <is>
          <t>S9195-ND</t>
        </is>
      </c>
      <c r="I44" t="inlineStr">
        <is>
          <t>Sullins Connector Solutions</t>
        </is>
      </c>
      <c r="J44" t="n">
        <v>14015</v>
      </c>
      <c r="K44" t="inlineStr">
        <is>
          <t>Active</t>
        </is>
      </c>
      <c r="L44" t="n">
        <v>1</v>
      </c>
      <c r="M44" t="n">
        <v>1</v>
      </c>
      <c r="N44" s="4" t="n">
        <v>0.8</v>
      </c>
      <c r="O44" s="4">
        <f>N44*L44</f>
        <v/>
      </c>
      <c r="Q44" t="inlineStr">
        <is>
          <t>https://s3.amazonaws.com/catalogspreads-pdf/PAGE123%20.100%20SFH11%20SERIES%20FEMALE%20HDR%20ST%20RA.pdf</t>
        </is>
      </c>
      <c r="R44" t="inlineStr"/>
    </row>
    <row r="45">
      <c r="A45" s="2" t="n">
        <v>3</v>
      </c>
      <c r="B45" s="2" t="inlineStr">
        <is>
          <t>61300211121</t>
        </is>
      </c>
      <c r="C45" s="2" t="inlineStr">
        <is>
          <t>Wurth Elektronik</t>
        </is>
      </c>
      <c r="D45" s="2" t="inlineStr">
        <is>
          <t>CH_Card JP101,JP102,JP103</t>
        </is>
      </c>
      <c r="E45" s="2" t="inlineStr">
        <is>
          <t>1x2 header</t>
        </is>
      </c>
      <c r="F45" s="2" t="inlineStr">
        <is>
          <t>PinHeader_1x02</t>
        </is>
      </c>
      <c r="G45" s="2" t="inlineStr">
        <is>
          <t>Pin header 1x2 2.54mm (GA address jumpers)</t>
        </is>
      </c>
      <c r="H45" t="inlineStr">
        <is>
          <t>732-5315-ND</t>
        </is>
      </c>
      <c r="I45" t="inlineStr">
        <is>
          <t>Würth Elektronik</t>
        </is>
      </c>
      <c r="J45" t="n">
        <v>229073</v>
      </c>
      <c r="K45" t="inlineStr">
        <is>
          <t>Active</t>
        </is>
      </c>
      <c r="L45" t="n">
        <v>3</v>
      </c>
      <c r="M45" t="n">
        <v>1</v>
      </c>
      <c r="N45" s="4" t="n">
        <v>0.13</v>
      </c>
      <c r="O45" s="4">
        <f>N45*L45</f>
        <v/>
      </c>
      <c r="Q45" t="inlineStr">
        <is>
          <t>https://www.we-online.com/components/products/datasheet/61300211121.pdf</t>
        </is>
      </c>
      <c r="R45" t="inlineStr"/>
    </row>
    <row r="46">
      <c r="A46" s="2" t="n">
        <v>3</v>
      </c>
      <c r="B46" s="2" t="inlineStr">
        <is>
          <t>SPC02SYAN</t>
        </is>
      </c>
      <c r="C46" s="2" t="inlineStr">
        <is>
          <t>Sullins Connector</t>
        </is>
      </c>
      <c r="D46" s="2" t="inlineStr">
        <is>
          <t>CH_Card JP101-103 shunts</t>
        </is>
      </c>
      <c r="E46" s="2" t="inlineStr">
        <is>
          <t>shunt</t>
        </is>
      </c>
      <c r="F46" s="2" t="inlineStr">
        <is>
          <t>-</t>
        </is>
      </c>
      <c r="G46" s="2" t="inlineStr">
        <is>
          <t>Shorting jumper 2.54mm gold (fit = address bit 0)</t>
        </is>
      </c>
      <c r="H46" t="inlineStr">
        <is>
          <t>S9001-ND</t>
        </is>
      </c>
      <c r="I46" t="inlineStr">
        <is>
          <t>Sullins Connector Solutions</t>
        </is>
      </c>
      <c r="J46" t="n">
        <v>626394</v>
      </c>
      <c r="K46" t="inlineStr">
        <is>
          <t>Active</t>
        </is>
      </c>
      <c r="L46" t="n">
        <v>3</v>
      </c>
      <c r="M46" t="n">
        <v>1</v>
      </c>
      <c r="N46" s="4" t="n">
        <v>0.1</v>
      </c>
      <c r="O46" s="4">
        <f>N46*L46</f>
        <v/>
      </c>
      <c r="Q46" t="inlineStr">
        <is>
          <t>https://drawings-pdf.s3.amazonaws.com/11134.pdf</t>
        </is>
      </c>
      <c r="R46" t="inlineStr"/>
    </row>
    <row r="47">
      <c r="N47" s="4" t="n"/>
      <c r="O47" s="4" t="n"/>
    </row>
    <row r="48">
      <c r="N48" s="5" t="inlineStr">
        <is>
          <t>TOTAL</t>
        </is>
      </c>
      <c r="O48" s="5">
        <f>SUM(O2:O46)</f>
        <v/>
      </c>
    </row>
    <row r="49">
      <c r="H49" s="6" t="inlineStr">
        <is>
          <t>Prices pulled 2026-07-17 12:44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2026-07-17T15:33:41Z</dcterms:created>
  <dcterms:modified xmlns:dcterms="http://purl.org/dc/terms/" xmlns:xsi="http://www.w3.org/2001/XMLSchema-instance" xsi:type="dcterms:W3CDTF">2026-07-17T16:44:26Z</dcterms:modified>
</cp:coreProperties>
</file>