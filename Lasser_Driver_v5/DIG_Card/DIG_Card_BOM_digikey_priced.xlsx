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####;($#,##0.00####);-"/>
  </numFmts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  <xf numFmtId="164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22" customWidth="1" min="3" max="3"/>
    <col width="40" customWidth="1" min="4" max="4"/>
    <col width="16" customWidth="1" min="5" max="5"/>
    <col width="30" customWidth="1" min="6" max="6"/>
    <col width="60" customWidth="1" min="7" max="7"/>
    <col width="18" customWidth="1" min="8" max="8"/>
    <col width="22" customWidth="1" min="9" max="9"/>
    <col width="12" customWidth="1" min="10" max="10"/>
    <col width="12" customWidth="1" min="11" max="11"/>
    <col width="10" customWidth="1" min="12" max="12"/>
    <col width="11" customWidth="1" min="13" max="13"/>
    <col width="12" customWidth="1" min="14" max="14"/>
    <col width="14" customWidth="1" min="15" max="15"/>
    <col width="8" customWidth="1" min="16" max="16"/>
    <col width="30" customWidth="1" min="17" max="17"/>
    <col width="26" customWidth="1" min="18" max="18"/>
  </cols>
  <sheetData>
    <row r="1">
      <c r="A1" s="1" t="inlineStr">
        <is>
          <t>Quantity</t>
        </is>
      </c>
      <c r="B1" s="1" t="inlineStr">
        <is>
          <t>Manufacturer Part Number</t>
        </is>
      </c>
      <c r="C1" s="1" t="inlineStr">
        <is>
          <t>Manufacturer</t>
        </is>
      </c>
      <c r="D1" s="1" t="inlineStr">
        <is>
          <t>Customer Reference</t>
        </is>
      </c>
      <c r="E1" s="1" t="inlineStr">
        <is>
          <t>Value</t>
        </is>
      </c>
      <c r="F1" s="1" t="inlineStr">
        <is>
          <t>Footprint</t>
        </is>
      </c>
      <c r="G1" s="1" t="inlineStr">
        <is>
          <t>Description</t>
        </is>
      </c>
      <c r="H1" s="2" t="inlineStr">
        <is>
          <t>DigiKey P/N</t>
        </is>
      </c>
      <c r="I1" s="2" t="inlineStr">
        <is>
          <t>Found Mfr</t>
        </is>
      </c>
      <c r="J1" s="2" t="inlineStr">
        <is>
          <t>Stock</t>
        </is>
      </c>
      <c r="K1" s="2" t="inlineStr">
        <is>
          <t>Status</t>
        </is>
      </c>
      <c r="L1" s="2" t="inlineStr">
        <is>
          <t>Order Qty</t>
        </is>
      </c>
      <c r="M1" s="2" t="inlineStr">
        <is>
          <t>Price Break</t>
        </is>
      </c>
      <c r="N1" s="2" t="inlineStr">
        <is>
          <t>Unit Price</t>
        </is>
      </c>
      <c r="O1" s="2" t="inlineStr">
        <is>
          <t>Extended Price</t>
        </is>
      </c>
      <c r="P1" s="2" t="inlineStr">
        <is>
          <t>MOQ</t>
        </is>
      </c>
      <c r="Q1" s="2" t="inlineStr">
        <is>
          <t>Datasheet</t>
        </is>
      </c>
      <c r="R1" s="2" t="inlineStr">
        <is>
          <t>Notes</t>
        </is>
      </c>
    </row>
    <row r="2">
      <c r="A2" t="inlineStr">
        <is>
          <t>2</t>
        </is>
      </c>
      <c r="B2" t="inlineStr">
        <is>
          <t>RC0805JR-070RL</t>
        </is>
      </c>
      <c r="C2" t="inlineStr">
        <is>
          <t>YAGEO</t>
        </is>
      </c>
      <c r="D2" t="inlineStr">
        <is>
          <t>DIG_Card R314,R315</t>
        </is>
      </c>
      <c r="E2" t="inlineStr">
        <is>
          <t>0R</t>
        </is>
      </c>
      <c r="F2" t="inlineStr">
        <is>
          <t>R_0805_2012Metric</t>
        </is>
      </c>
      <c r="G2" t="inlineStr">
        <is>
          <t>Res 0R jumper 0805 (MOD LPF bypass R314/315)</t>
        </is>
      </c>
      <c r="H2" t="inlineStr">
        <is>
          <t>311-0.0ARTR-ND</t>
        </is>
      </c>
      <c r="I2" t="inlineStr">
        <is>
          <t>YAGEO</t>
        </is>
      </c>
      <c r="J2" t="n">
        <v>1174346</v>
      </c>
      <c r="K2" t="inlineStr">
        <is>
          <t>Active</t>
        </is>
      </c>
      <c r="L2" t="n">
        <v>2</v>
      </c>
      <c r="M2" t="n">
        <v>1</v>
      </c>
      <c r="N2" s="3" t="n">
        <v>0.1</v>
      </c>
      <c r="O2" s="3">
        <f>N2*L2</f>
        <v/>
      </c>
      <c r="Q2" t="inlineStr">
        <is>
          <t>https://yageogroup.com/content/datasheet/asset/file/PYU-RC_GROUP_51_ROHS_L</t>
        </is>
      </c>
    </row>
    <row r="3">
      <c r="A3" t="inlineStr">
        <is>
          <t>9</t>
        </is>
      </c>
      <c r="B3" t="inlineStr">
        <is>
          <t>RC0805FR-071K3L</t>
        </is>
      </c>
      <c r="C3" t="inlineStr">
        <is>
          <t>YAGEO</t>
        </is>
      </c>
      <c r="D3" t="inlineStr">
        <is>
          <t>DIG_Card VM_R88,VM_R89,VM_R90,VM_R91,VM_R92,VM_R93,VM_R94,VM_R95,VM_R96</t>
        </is>
      </c>
      <c r="E3" t="inlineStr">
        <is>
          <t>1.3k</t>
        </is>
      </c>
      <c r="F3" t="inlineStr">
        <is>
          <t>R_0805_2012Metric_Pad1.20x1.40mm_HandSolder</t>
        </is>
      </c>
      <c r="G3" t="inlineStr">
        <is>
          <t>Res 1.3k 1% 0805 (VM LED series)</t>
        </is>
      </c>
      <c r="H3" t="inlineStr">
        <is>
          <t>311-1.30KCRTR-ND</t>
        </is>
      </c>
      <c r="I3" t="inlineStr">
        <is>
          <t>YAGEO</t>
        </is>
      </c>
      <c r="J3" t="n">
        <v>39100</v>
      </c>
      <c r="K3" t="inlineStr">
        <is>
          <t>Active</t>
        </is>
      </c>
      <c r="L3" t="n">
        <v>9</v>
      </c>
      <c r="M3" t="n">
        <v>1</v>
      </c>
      <c r="N3" s="3" t="n">
        <v>0.1</v>
      </c>
      <c r="O3" s="3">
        <f>N3*L3</f>
        <v/>
      </c>
      <c r="Q3" t="inlineStr">
        <is>
          <t>https://yageogroup.com/content/datasheet/asset/file/PYU-RC_GROUP_51_ROHS_L</t>
        </is>
      </c>
      <c r="R3" t="inlineStr">
        <is>
          <t>APPROX MATCH -&gt; RC0805FR-071K3L (verify)</t>
        </is>
      </c>
    </row>
    <row r="4">
      <c r="A4" t="inlineStr">
        <is>
          <t>6</t>
        </is>
      </c>
      <c r="B4" t="inlineStr">
        <is>
          <t>RC0805FR-07100RL</t>
        </is>
      </c>
      <c r="C4" t="inlineStr">
        <is>
          <t>YAGEO</t>
        </is>
      </c>
      <c r="D4" t="inlineStr">
        <is>
          <t>DIG_Card R114,R301,R302,VM_R56,VM_R66,VM_R72</t>
        </is>
      </c>
      <c r="E4" t="inlineStr">
        <is>
          <t>100R</t>
        </is>
      </c>
      <c r="F4" t="inlineStr">
        <is>
          <t>R_0805_2012Metric_Pad1.20x1.40mm_HandSolder</t>
        </is>
      </c>
      <c r="G4" t="inlineStr">
        <is>
          <t>Res 100R 1% 0805 (I2C series R301/302; backlight R114)</t>
        </is>
      </c>
      <c r="H4" t="inlineStr">
        <is>
          <t>311-100CRTR-ND</t>
        </is>
      </c>
      <c r="I4" t="inlineStr">
        <is>
          <t>YAGEO</t>
        </is>
      </c>
      <c r="J4" t="n">
        <v>184721</v>
      </c>
      <c r="K4" t="inlineStr">
        <is>
          <t>Active</t>
        </is>
      </c>
      <c r="L4" t="n">
        <v>6</v>
      </c>
      <c r="M4" t="n">
        <v>1</v>
      </c>
      <c r="N4" s="3" t="n">
        <v>0.1</v>
      </c>
      <c r="O4" s="3">
        <f>N4*L4</f>
        <v/>
      </c>
      <c r="Q4" t="inlineStr">
        <is>
          <t>https://yageogroup.com/content/datasheet/asset/file/PYU-RC_GROUP_51_ROHS_L</t>
        </is>
      </c>
    </row>
    <row r="5">
      <c r="A5" t="inlineStr">
        <is>
          <t>1</t>
        </is>
      </c>
      <c r="B5" t="inlineStr">
        <is>
          <t>RC0805FR-07100KL</t>
        </is>
      </c>
      <c r="C5" t="inlineStr">
        <is>
          <t>YAGEO</t>
        </is>
      </c>
      <c r="D5" t="inlineStr">
        <is>
          <t>DIG_Card R109</t>
        </is>
      </c>
      <c r="E5" t="inlineStr">
        <is>
          <t>100k</t>
        </is>
      </c>
      <c r="F5" t="inlineStr">
        <is>
          <t>R_0805_2012Metric_Pad1.20x1.40mm_HandSolder</t>
        </is>
      </c>
      <c r="G5" t="inlineStr">
        <is>
          <t>Res 100k 1% 0805</t>
        </is>
      </c>
      <c r="H5" t="inlineStr">
        <is>
          <t>311-100KCRTR-ND</t>
        </is>
      </c>
      <c r="I5" t="inlineStr">
        <is>
          <t>YAGEO</t>
        </is>
      </c>
      <c r="J5" t="n">
        <v>715912</v>
      </c>
      <c r="K5" t="inlineStr">
        <is>
          <t>Active</t>
        </is>
      </c>
      <c r="L5" t="n">
        <v>1</v>
      </c>
      <c r="M5" t="n">
        <v>1</v>
      </c>
      <c r="N5" s="3" t="n">
        <v>0.1</v>
      </c>
      <c r="O5" s="3">
        <f>N5*L5</f>
        <v/>
      </c>
      <c r="Q5" t="inlineStr">
        <is>
          <t>https://yageogroup.com/content/datasheet/asset/file/PYU-RC_GROUP_51_ROHS_L</t>
        </is>
      </c>
    </row>
    <row r="6">
      <c r="A6" t="inlineStr">
        <is>
          <t>26</t>
        </is>
      </c>
      <c r="B6" t="inlineStr">
        <is>
          <t>CL21B104KBCNNNC</t>
        </is>
      </c>
      <c r="C6" t="inlineStr">
        <is>
          <t>Samsung Electro-Mechanics</t>
        </is>
      </c>
      <c r="D6" t="inlineStr">
        <is>
          <t>DIG_Card C80,C81,C82,C84,C85,C86,C88,C92,C301,C302,C305,C306,C307,C312,C314,C315,C316,C317,C324,VM_C75,VM_C76,VM_C77,VM_C78,VM_C79,VM_C80,VM_C90</t>
        </is>
      </c>
      <c r="E6" t="inlineStr">
        <is>
          <t>100nF</t>
        </is>
      </c>
      <c r="F6" t="inlineStr">
        <is>
          <t>C_0805_2012Metric_Pad1.18x1.45mm_HandSolder</t>
        </is>
      </c>
      <c r="G6" t="inlineStr">
        <is>
          <t>MLCC 100nF 50V X7R 0805 (decoupling)</t>
        </is>
      </c>
      <c r="H6" t="inlineStr">
        <is>
          <t>1276-1003-2-ND</t>
        </is>
      </c>
      <c r="I6" t="inlineStr">
        <is>
          <t>Samsung Electro-Mechanics</t>
        </is>
      </c>
      <c r="J6" t="n">
        <v>7262472</v>
      </c>
      <c r="K6" t="inlineStr">
        <is>
          <t>Active</t>
        </is>
      </c>
      <c r="L6" t="n">
        <v>26</v>
      </c>
      <c r="M6" t="n">
        <v>10</v>
      </c>
      <c r="N6" s="3" t="n">
        <v>0.038</v>
      </c>
      <c r="O6" s="3">
        <f>N6*L6</f>
        <v/>
      </c>
      <c r="Q6" t="inlineStr">
        <is>
          <t>//mm.digikey.com/Volume0/opasdata/d220001/medias/docus/609/CL21B104KBCNNN_Spec.pdf</t>
        </is>
      </c>
    </row>
    <row r="7">
      <c r="A7" t="inlineStr">
        <is>
          <t>21</t>
        </is>
      </c>
      <c r="B7" t="inlineStr">
        <is>
          <t>RC0805FR-0710KL</t>
        </is>
      </c>
      <c r="C7" t="inlineStr">
        <is>
          <t>YAGEO</t>
        </is>
      </c>
      <c r="D7" t="inlineStr">
        <is>
          <t>DIG_Card R305,VM_R54,VM_R55,VM_R58,VM_R60,VM_R62,VM_R63,VM_R67,VM_R69,VM_R70,VM_R73,VM_R75,VM_R76,VM_R79,VM_R80,VM_R81,VM_R82,VM_R84,VM_R85,VM_R86,VM_R87</t>
        </is>
      </c>
      <c r="E7" t="inlineStr">
        <is>
          <t>10k</t>
        </is>
      </c>
      <c r="F7" t="inlineStr">
        <is>
          <t>R_0805_2012Metric_Pad1.20x1.40mm_HandSolder</t>
        </is>
      </c>
      <c r="G7" t="inlineStr">
        <is>
          <t>Res 10k 1% 0805</t>
        </is>
      </c>
      <c r="H7" t="inlineStr">
        <is>
          <t>311-10.0KCRTR-ND</t>
        </is>
      </c>
      <c r="I7" t="inlineStr">
        <is>
          <t>YAGEO</t>
        </is>
      </c>
      <c r="J7" t="n">
        <v>3266932</v>
      </c>
      <c r="K7" t="inlineStr">
        <is>
          <t>Active</t>
        </is>
      </c>
      <c r="L7" t="n">
        <v>21</v>
      </c>
      <c r="M7" t="n">
        <v>10</v>
      </c>
      <c r="N7" s="3" t="n">
        <v>0.034</v>
      </c>
      <c r="O7" s="3">
        <f>N7*L7</f>
        <v/>
      </c>
      <c r="Q7" t="inlineStr">
        <is>
          <t>https://yageogroup.com/content/datasheet/asset/file/PYU-RC_GROUP_51_ROHS_L</t>
        </is>
      </c>
    </row>
    <row r="8">
      <c r="A8" t="inlineStr">
        <is>
          <t>16</t>
        </is>
      </c>
      <c r="B8" t="inlineStr">
        <is>
          <t>CL21B103KBANNNC</t>
        </is>
      </c>
      <c r="C8" t="inlineStr">
        <is>
          <t>Samsung Electro-Mechanics</t>
        </is>
      </c>
      <c r="D8" t="inlineStr">
        <is>
          <t>DIG_Card C83,C87,C89,C90,C91,C320,C321,VM_C81,VM_C82,VM_C83,VM_C84,VM_C85,VM_C86,VM_C87,VM_C88,VM_C89</t>
        </is>
      </c>
      <c r="E8" t="inlineStr">
        <is>
          <t>10nF</t>
        </is>
      </c>
      <c r="F8" t="inlineStr">
        <is>
          <t>C_0805_2012Metric_Pad1.18x1.45mm_HandSolder</t>
        </is>
      </c>
      <c r="G8" t="inlineStr">
        <is>
          <t>MLCC 10nF 50V X7R 0805</t>
        </is>
      </c>
      <c r="H8" t="inlineStr">
        <is>
          <t>1276-1015-2-ND</t>
        </is>
      </c>
      <c r="I8" t="inlineStr">
        <is>
          <t>Samsung Electro-Mechanics</t>
        </is>
      </c>
      <c r="J8" t="n">
        <v>2413104</v>
      </c>
      <c r="K8" t="inlineStr">
        <is>
          <t>Active</t>
        </is>
      </c>
      <c r="L8" t="n">
        <v>16</v>
      </c>
      <c r="M8" t="n">
        <v>10</v>
      </c>
      <c r="N8" s="3" t="n">
        <v>0.037</v>
      </c>
      <c r="O8" s="3">
        <f>N8*L8</f>
        <v/>
      </c>
      <c r="Q8" t="inlineStr">
        <is>
          <t>https://www.samsungsem.com/kr/support/product-search/mlcc/CL21B103KBANNNC.jsp</t>
        </is>
      </c>
    </row>
    <row r="9">
      <c r="A9" t="inlineStr">
        <is>
          <t>4</t>
        </is>
      </c>
      <c r="B9" t="inlineStr">
        <is>
          <t>C0805C106K3PACTU</t>
        </is>
      </c>
      <c r="C9" t="inlineStr">
        <is>
          <t>KEMET</t>
        </is>
      </c>
      <c r="D9" t="inlineStr">
        <is>
          <t>DIG_Card C318,C322,C323,C325</t>
        </is>
      </c>
      <c r="E9" t="inlineStr">
        <is>
          <t>10uF</t>
        </is>
      </c>
      <c r="F9" t="inlineStr">
        <is>
          <t>C_0805_2012Metric</t>
        </is>
      </c>
      <c r="G9" t="inlineStr">
        <is>
          <t>MLCC 10uF 25V X5R 0805 (rail bulk)</t>
        </is>
      </c>
      <c r="H9" t="inlineStr">
        <is>
          <t>399-11939-2-ND</t>
        </is>
      </c>
      <c r="I9" t="inlineStr">
        <is>
          <t>KEMET</t>
        </is>
      </c>
      <c r="J9" t="n">
        <v>188739</v>
      </c>
      <c r="K9" t="inlineStr">
        <is>
          <t>Active</t>
        </is>
      </c>
      <c r="L9" t="n">
        <v>4</v>
      </c>
      <c r="M9" t="n">
        <v>1</v>
      </c>
      <c r="N9" s="3" t="n">
        <v>0.24</v>
      </c>
      <c r="O9" s="3">
        <f>N9*L9</f>
        <v/>
      </c>
      <c r="Q9" t="inlineStr">
        <is>
          <t>https://yageogroup.com/content/datasheet/asset/file/KEM_C1006_X5R_SMD</t>
        </is>
      </c>
    </row>
    <row r="10">
      <c r="A10" t="inlineStr">
        <is>
          <t>1</t>
        </is>
      </c>
      <c r="B10" t="inlineStr">
        <is>
          <t>RC0805FR-07110KL</t>
        </is>
      </c>
      <c r="C10" t="inlineStr">
        <is>
          <t>YAGEO</t>
        </is>
      </c>
      <c r="D10" t="inlineStr">
        <is>
          <t>DIG_Card VM_R53</t>
        </is>
      </c>
      <c r="E10" t="inlineStr">
        <is>
          <t>110k</t>
        </is>
      </c>
      <c r="F10" t="inlineStr">
        <is>
          <t>R_0805_2012Metric_Pad1.20x1.40mm_HandSolder</t>
        </is>
      </c>
      <c r="G10" t="inlineStr">
        <is>
          <t>Res 110k 1% 0805 (VM divider)</t>
        </is>
      </c>
      <c r="H10" t="inlineStr">
        <is>
          <t>311-110KCRTR-ND</t>
        </is>
      </c>
      <c r="I10" t="inlineStr">
        <is>
          <t>YAGEO</t>
        </is>
      </c>
      <c r="J10" t="n">
        <v>2876</v>
      </c>
      <c r="K10" t="inlineStr">
        <is>
          <t>Active</t>
        </is>
      </c>
      <c r="L10" t="n">
        <v>1</v>
      </c>
      <c r="M10" t="n">
        <v>1</v>
      </c>
      <c r="N10" s="3" t="n">
        <v>0.1</v>
      </c>
      <c r="O10" s="3">
        <f>N10*L10</f>
        <v/>
      </c>
      <c r="Q10" t="inlineStr">
        <is>
          <t>https://yageogroup.com/content/datasheet/asset/file/PYU-RC_GROUP_51_ROHS_L</t>
        </is>
      </c>
    </row>
    <row r="11">
      <c r="A11" t="inlineStr">
        <is>
          <t>1</t>
        </is>
      </c>
      <c r="B11" t="inlineStr">
        <is>
          <t>RC0805FR-07120KL</t>
        </is>
      </c>
      <c r="C11" t="inlineStr">
        <is>
          <t>YAGEO</t>
        </is>
      </c>
      <c r="D11" t="inlineStr">
        <is>
          <t>DIG_Card VM_R59</t>
        </is>
      </c>
      <c r="E11" t="inlineStr">
        <is>
          <t>120k</t>
        </is>
      </c>
      <c r="F11" t="inlineStr">
        <is>
          <t>R_0805_2012Metric_Pad1.20x1.40mm_HandSolder</t>
        </is>
      </c>
      <c r="G11" t="inlineStr">
        <is>
          <t>Res 120k 1% 0805 (VM divider)</t>
        </is>
      </c>
      <c r="H11" t="inlineStr">
        <is>
          <t>311-120KCRTR-ND</t>
        </is>
      </c>
      <c r="I11" t="inlineStr">
        <is>
          <t>YAGEO</t>
        </is>
      </c>
      <c r="J11" t="n">
        <v>72573</v>
      </c>
      <c r="K11" t="inlineStr">
        <is>
          <t>Active</t>
        </is>
      </c>
      <c r="L11" t="n">
        <v>1</v>
      </c>
      <c r="M11" t="n">
        <v>1</v>
      </c>
      <c r="N11" s="3" t="n">
        <v>0.1</v>
      </c>
      <c r="O11" s="3">
        <f>N11*L11</f>
        <v/>
      </c>
      <c r="Q11" t="inlineStr">
        <is>
          <t>https://yageogroup.com/content/datasheet/asset/file/PYU-RC_GROUP_51_ROHS_L</t>
        </is>
      </c>
    </row>
    <row r="12">
      <c r="A12" t="inlineStr">
        <is>
          <t>1</t>
        </is>
      </c>
      <c r="B12" t="inlineStr">
        <is>
          <t>RC0805FR-0716K5L</t>
        </is>
      </c>
      <c r="C12" t="inlineStr">
        <is>
          <t>YAGEO</t>
        </is>
      </c>
      <c r="D12" t="inlineStr">
        <is>
          <t>DIG_Card VM_R78</t>
        </is>
      </c>
      <c r="E12" t="inlineStr">
        <is>
          <t>16.5k</t>
        </is>
      </c>
      <c r="F12" t="inlineStr">
        <is>
          <t>R_0805_2012Metric_Pad1.20x1.40mm_HandSolder</t>
        </is>
      </c>
      <c r="G12" t="inlineStr">
        <is>
          <t>Res 16.5k 1% 0805 (VM divider)</t>
        </is>
      </c>
      <c r="H12" t="inlineStr">
        <is>
          <t>311-16.5KCRTR-ND</t>
        </is>
      </c>
      <c r="I12" t="inlineStr">
        <is>
          <t>YAGEO</t>
        </is>
      </c>
      <c r="J12" t="n">
        <v>4734</v>
      </c>
      <c r="K12" t="inlineStr">
        <is>
          <t>Active</t>
        </is>
      </c>
      <c r="L12" t="n">
        <v>1</v>
      </c>
      <c r="M12" t="n">
        <v>1</v>
      </c>
      <c r="N12" s="3" t="n">
        <v>0.1</v>
      </c>
      <c r="O12" s="3">
        <f>N12*L12</f>
        <v/>
      </c>
      <c r="Q12" t="inlineStr">
        <is>
          <t>https://yageogroup.com/content/datasheet/asset/file/PYU-RC_GROUP_51_ROHS_L</t>
        </is>
      </c>
    </row>
    <row r="13">
      <c r="A13" t="inlineStr">
        <is>
          <t>1</t>
        </is>
      </c>
      <c r="B13" t="inlineStr">
        <is>
          <t>RC0805FR-071ML</t>
        </is>
      </c>
      <c r="C13" t="inlineStr">
        <is>
          <t>YAGEO</t>
        </is>
      </c>
      <c r="D13" t="inlineStr">
        <is>
          <t>DIG_Card R105</t>
        </is>
      </c>
      <c r="E13" t="inlineStr">
        <is>
          <t>1M</t>
        </is>
      </c>
      <c r="F13" t="inlineStr">
        <is>
          <t>R_0805_2012Metric_Pad1.20x1.40mm_HandSolder</t>
        </is>
      </c>
      <c r="G13" t="inlineStr">
        <is>
          <t>Res 1M 1% 0805</t>
        </is>
      </c>
      <c r="H13" t="inlineStr">
        <is>
          <t>311-1.00MCRTR-ND</t>
        </is>
      </c>
      <c r="I13" t="inlineStr">
        <is>
          <t>YAGEO</t>
        </is>
      </c>
      <c r="J13" t="n">
        <v>150295</v>
      </c>
      <c r="K13" t="inlineStr">
        <is>
          <t>Active</t>
        </is>
      </c>
      <c r="L13" t="n">
        <v>1</v>
      </c>
      <c r="M13" t="n">
        <v>1</v>
      </c>
      <c r="N13" s="3" t="n">
        <v>0.1</v>
      </c>
      <c r="O13" s="3">
        <f>N13*L13</f>
        <v/>
      </c>
      <c r="Q13" t="inlineStr">
        <is>
          <t>https://yageogroup.com/content/datasheet/asset/file/PYU-RC_GROUP_51_ROHS_L</t>
        </is>
      </c>
    </row>
    <row r="14">
      <c r="A14" t="inlineStr">
        <is>
          <t>4</t>
        </is>
      </c>
      <c r="B14" t="inlineStr">
        <is>
          <t>CRCW08051K00FKEA</t>
        </is>
      </c>
      <c r="C14" t="inlineStr">
        <is>
          <t>Vishay Dale</t>
        </is>
      </c>
      <c r="D14" t="inlineStr">
        <is>
          <t>DIG_Card R107,R108,R111,VM_R51</t>
        </is>
      </c>
      <c r="E14" t="inlineStr">
        <is>
          <t>1k</t>
        </is>
      </c>
      <c r="F14" t="inlineStr">
        <is>
          <t>R_0805_2012Metric_Pad1.20x1.40mm_HandSolder</t>
        </is>
      </c>
      <c r="G14" t="inlineStr">
        <is>
          <t>Res 1k 1% 0805</t>
        </is>
      </c>
      <c r="H14" t="inlineStr">
        <is>
          <t>541-1.00KCTR-ND</t>
        </is>
      </c>
      <c r="I14" t="inlineStr">
        <is>
          <t>Vishay Dale</t>
        </is>
      </c>
      <c r="J14" t="n">
        <v>803631</v>
      </c>
      <c r="K14" t="inlineStr">
        <is>
          <t>Active</t>
        </is>
      </c>
      <c r="L14" t="n">
        <v>4</v>
      </c>
      <c r="M14" t="n">
        <v>1</v>
      </c>
      <c r="N14" s="3" t="n">
        <v>0.1</v>
      </c>
      <c r="O14" s="3">
        <f>N14*L14</f>
        <v/>
      </c>
      <c r="Q14" t="inlineStr">
        <is>
          <t>https://www.vishay.com/docs/20035/dcrcwe3.pdf</t>
        </is>
      </c>
    </row>
    <row r="15">
      <c r="A15" t="inlineStr">
        <is>
          <t>2</t>
        </is>
      </c>
      <c r="B15" t="inlineStr">
        <is>
          <t>CL21B102KBANNNC</t>
        </is>
      </c>
      <c r="C15" t="inlineStr">
        <is>
          <t>Samsung Electro-Mechanics</t>
        </is>
      </c>
      <c r="D15" t="inlineStr">
        <is>
          <t>DIG_Card C303,C304</t>
        </is>
      </c>
      <c r="E15" t="inlineStr">
        <is>
          <t>1nF</t>
        </is>
      </c>
      <c r="F15" t="inlineStr">
        <is>
          <t>C_0805_2012Metric</t>
        </is>
      </c>
      <c r="G15" t="inlineStr">
        <is>
          <t>MLCC 1nF 50V X7R 0805 (ERR filter)</t>
        </is>
      </c>
      <c r="H15" t="inlineStr">
        <is>
          <t>1276-1020-2-ND</t>
        </is>
      </c>
      <c r="I15" t="inlineStr">
        <is>
          <t>Samsung Electro-Mechanics</t>
        </is>
      </c>
      <c r="J15" t="n">
        <v>1371219</v>
      </c>
      <c r="K15" t="inlineStr">
        <is>
          <t>Active</t>
        </is>
      </c>
      <c r="L15" t="n">
        <v>2</v>
      </c>
      <c r="M15" t="n">
        <v>1</v>
      </c>
      <c r="N15" s="3" t="n">
        <v>0.1</v>
      </c>
      <c r="O15" s="3">
        <f>N15*L15</f>
        <v/>
      </c>
      <c r="Q15" t="inlineStr">
        <is>
          <t>//mm.digikey.com/Volume0/opasdata/d220001/medias/docus/8923/DataSheet_CL21B102KBANNN_20260513.pdf</t>
        </is>
      </c>
    </row>
    <row r="16">
      <c r="A16" t="inlineStr">
        <is>
          <t>2</t>
        </is>
      </c>
      <c r="B16" t="inlineStr">
        <is>
          <t>C0805C105K5RACTU</t>
        </is>
      </c>
      <c r="C16" t="inlineStr">
        <is>
          <t>KEMET</t>
        </is>
      </c>
      <c r="D16" t="inlineStr">
        <is>
          <t>DIG_Card C313,C319</t>
        </is>
      </c>
      <c r="E16" t="inlineStr">
        <is>
          <t>1uF</t>
        </is>
      </c>
      <c r="F16" t="inlineStr">
        <is>
          <t>C_0805_2012Metric</t>
        </is>
      </c>
      <c r="G16" t="inlineStr">
        <is>
          <t>MLCC 1uF 50V X7R 0805 (ferrite island bulk)</t>
        </is>
      </c>
      <c r="H16" t="inlineStr">
        <is>
          <t>399-C0805C105K5RACTUTR-ND</t>
        </is>
      </c>
      <c r="I16" t="inlineStr">
        <is>
          <t>KEMET</t>
        </is>
      </c>
      <c r="J16" t="n">
        <v>132650</v>
      </c>
      <c r="K16" t="inlineStr">
        <is>
          <t>Active</t>
        </is>
      </c>
      <c r="L16" t="n">
        <v>2</v>
      </c>
      <c r="M16" t="n">
        <v>1</v>
      </c>
      <c r="N16" s="3" t="n">
        <v>0.87</v>
      </c>
      <c r="O16" s="3">
        <f>N16*L16</f>
        <v/>
      </c>
      <c r="Q16" t="inlineStr">
        <is>
          <t>https://yageogroup.com/content/datasheet/asset/file/KEM_C1002_X7R_SMD</t>
        </is>
      </c>
    </row>
    <row r="17">
      <c r="A17" t="inlineStr">
        <is>
          <t>2</t>
        </is>
      </c>
      <c r="B17" t="inlineStr">
        <is>
          <t>RC0805FR-072K2L</t>
        </is>
      </c>
      <c r="C17" t="inlineStr">
        <is>
          <t>YAGEO</t>
        </is>
      </c>
      <c r="D17" t="inlineStr">
        <is>
          <t>DIG_Card R112,R113</t>
        </is>
      </c>
      <c r="E17" t="inlineStr">
        <is>
          <t>2.2k</t>
        </is>
      </c>
      <c r="F17" t="inlineStr">
        <is>
          <t>R_0805_2012Metric_Pad1.20x1.40mm_HandSolder</t>
        </is>
      </c>
      <c r="G17" t="inlineStr">
        <is>
          <t>Res 2.2k 1% 0805 (I2C pullups)</t>
        </is>
      </c>
      <c r="H17" t="inlineStr">
        <is>
          <t>311-2.20KCRTR-ND</t>
        </is>
      </c>
      <c r="I17" t="inlineStr">
        <is>
          <t>YAGEO</t>
        </is>
      </c>
      <c r="J17" t="n">
        <v>170418</v>
      </c>
      <c r="K17" t="inlineStr">
        <is>
          <t>Active</t>
        </is>
      </c>
      <c r="L17" t="n">
        <v>2</v>
      </c>
      <c r="M17" t="n">
        <v>1</v>
      </c>
      <c r="N17" s="3" t="n">
        <v>0.1</v>
      </c>
      <c r="O17" s="3">
        <f>N17*L17</f>
        <v/>
      </c>
      <c r="Q17" t="inlineStr">
        <is>
          <t>https://yageogroup.com/content/datasheet/asset/file/PYU-RC_GROUP_51_ROHS_L</t>
        </is>
      </c>
    </row>
    <row r="18">
      <c r="A18" t="inlineStr">
        <is>
          <t>1</t>
        </is>
      </c>
      <c r="B18" t="inlineStr">
        <is>
          <t>RC0805FR-0727KL</t>
        </is>
      </c>
      <c r="C18" t="inlineStr">
        <is>
          <t>YAGEO</t>
        </is>
      </c>
      <c r="D18" t="inlineStr">
        <is>
          <t>DIG_Card R106</t>
        </is>
      </c>
      <c r="E18" t="inlineStr">
        <is>
          <t>27k</t>
        </is>
      </c>
      <c r="F18" t="inlineStr">
        <is>
          <t>R_0805_2012Metric_Pad1.20x1.40mm_HandSolder</t>
        </is>
      </c>
      <c r="G18" t="inlineStr">
        <is>
          <t>Res 27k 1% 0805</t>
        </is>
      </c>
      <c r="H18" t="inlineStr">
        <is>
          <t>311-27.0KCRTR-ND</t>
        </is>
      </c>
      <c r="I18" t="inlineStr">
        <is>
          <t>YAGEO</t>
        </is>
      </c>
      <c r="J18" t="n">
        <v>94907</v>
      </c>
      <c r="K18" t="inlineStr">
        <is>
          <t>Active</t>
        </is>
      </c>
      <c r="L18" t="n">
        <v>1</v>
      </c>
      <c r="M18" t="n">
        <v>1</v>
      </c>
      <c r="N18" s="3" t="n">
        <v>0.1</v>
      </c>
      <c r="O18" s="3">
        <f>N18*L18</f>
        <v/>
      </c>
      <c r="Q18" t="inlineStr">
        <is>
          <t>https://yageogroup.com/content/datasheet/asset/file/PYU-RC_GROUP_51_ROHS_L</t>
        </is>
      </c>
    </row>
    <row r="19">
      <c r="A19" t="inlineStr">
        <is>
          <t>1</t>
        </is>
      </c>
      <c r="B19" t="inlineStr">
        <is>
          <t>RC0805FR-0729K4L</t>
        </is>
      </c>
      <c r="C19" t="inlineStr">
        <is>
          <t>YAGEO</t>
        </is>
      </c>
      <c r="D19" t="inlineStr">
        <is>
          <t>DIG_Card VM_R50</t>
        </is>
      </c>
      <c r="E19" t="inlineStr">
        <is>
          <t>29.4k</t>
        </is>
      </c>
      <c r="F19" t="inlineStr">
        <is>
          <t>R_0805_2012Metric_Pad1.20x1.40mm_HandSolder</t>
        </is>
      </c>
      <c r="G19" t="inlineStr">
        <is>
          <t>Res 29.4k 1% 0805 (VM divider)</t>
        </is>
      </c>
      <c r="H19" t="inlineStr">
        <is>
          <t>311-29.4KCRTR-ND</t>
        </is>
      </c>
      <c r="I19" t="inlineStr">
        <is>
          <t>YAGEO</t>
        </is>
      </c>
      <c r="J19" t="n">
        <v>46771</v>
      </c>
      <c r="K19" t="inlineStr">
        <is>
          <t>Active</t>
        </is>
      </c>
      <c r="L19" t="n">
        <v>1</v>
      </c>
      <c r="M19" t="n">
        <v>1</v>
      </c>
      <c r="N19" s="3" t="n">
        <v>0.1</v>
      </c>
      <c r="O19" s="3">
        <f>N19*L19</f>
        <v/>
      </c>
      <c r="Q19" t="inlineStr">
        <is>
          <t>https://yageogroup.com/content/datasheet/asset/file/PYU-RC_GROUP_51_ROHS_L</t>
        </is>
      </c>
    </row>
    <row r="20">
      <c r="A20" t="inlineStr">
        <is>
          <t>1</t>
        </is>
      </c>
      <c r="B20" t="inlineStr">
        <is>
          <t>RC0805FR-072ML</t>
        </is>
      </c>
      <c r="C20" t="inlineStr">
        <is>
          <t>YAGEO</t>
        </is>
      </c>
      <c r="D20" t="inlineStr">
        <is>
          <t>DIG_Card R110</t>
        </is>
      </c>
      <c r="E20" t="inlineStr">
        <is>
          <t>2M</t>
        </is>
      </c>
      <c r="F20" t="inlineStr">
        <is>
          <t>R_0805_2012Metric_Pad1.20x1.40mm_HandSolder</t>
        </is>
      </c>
      <c r="G20" t="inlineStr">
        <is>
          <t>Res 2M 1% 0805</t>
        </is>
      </c>
      <c r="H20" t="inlineStr">
        <is>
          <t>311-2.00MCRTR-ND</t>
        </is>
      </c>
      <c r="I20" t="inlineStr">
        <is>
          <t>YAGEO</t>
        </is>
      </c>
      <c r="J20" t="n">
        <v>76735</v>
      </c>
      <c r="K20" t="inlineStr">
        <is>
          <t>Active</t>
        </is>
      </c>
      <c r="L20" t="n">
        <v>1</v>
      </c>
      <c r="M20" t="n">
        <v>1</v>
      </c>
      <c r="N20" s="3" t="n">
        <v>0.1</v>
      </c>
      <c r="O20" s="3">
        <f>N20*L20</f>
        <v/>
      </c>
      <c r="Q20" t="inlineStr">
        <is>
          <t>https://yageogroup.com/content/datasheet/asset/file/PYU-RC_GROUP_51_ROHS_L</t>
        </is>
      </c>
    </row>
    <row r="21">
      <c r="A21" t="inlineStr">
        <is>
          <t>2</t>
        </is>
      </c>
      <c r="B21" t="inlineStr">
        <is>
          <t>RC0805FR-073K3L</t>
        </is>
      </c>
      <c r="C21" t="inlineStr">
        <is>
          <t>YAGEO</t>
        </is>
      </c>
      <c r="D21" t="inlineStr">
        <is>
          <t>DIG_Card R303,R304</t>
        </is>
      </c>
      <c r="E21" t="inlineStr">
        <is>
          <t>3.3k</t>
        </is>
      </c>
      <c r="F21" t="inlineStr">
        <is>
          <t>R_0805_2012Metric</t>
        </is>
      </c>
      <c r="G21" t="inlineStr">
        <is>
          <t>Res 3.3k 1% 0805 (ERR ADC series R303/304)</t>
        </is>
      </c>
      <c r="H21" t="inlineStr">
        <is>
          <t>311-3.30KCRTR-ND</t>
        </is>
      </c>
      <c r="I21" t="inlineStr">
        <is>
          <t>YAGEO</t>
        </is>
      </c>
      <c r="J21" t="n">
        <v>167450</v>
      </c>
      <c r="K21" t="inlineStr">
        <is>
          <t>Active</t>
        </is>
      </c>
      <c r="L21" t="n">
        <v>2</v>
      </c>
      <c r="M21" t="n">
        <v>1</v>
      </c>
      <c r="N21" s="3" t="n">
        <v>0.1</v>
      </c>
      <c r="O21" s="3">
        <f>N21*L21</f>
        <v/>
      </c>
      <c r="Q21" t="inlineStr">
        <is>
          <t>https://yageogroup.com/content/datasheet/asset/file/PYU-RC_GROUP_51_ROHS_L</t>
        </is>
      </c>
    </row>
    <row r="22">
      <c r="A22" t="inlineStr">
        <is>
          <t>2</t>
        </is>
      </c>
      <c r="B22" t="inlineStr">
        <is>
          <t>RC0805FR-0730K1L</t>
        </is>
      </c>
      <c r="C22" t="inlineStr">
        <is>
          <t>YAGEO</t>
        </is>
      </c>
      <c r="D22" t="inlineStr">
        <is>
          <t>DIG_Card VM_R65,VM_R77</t>
        </is>
      </c>
      <c r="E22" t="inlineStr">
        <is>
          <t>30.1k</t>
        </is>
      </c>
      <c r="F22" t="inlineStr">
        <is>
          <t>R_0805_2012Metric_Pad1.20x1.40mm_HandSolder</t>
        </is>
      </c>
      <c r="G22" t="inlineStr">
        <is>
          <t>Res 30.1k 1% 0805 (VM divider)</t>
        </is>
      </c>
      <c r="H22" t="inlineStr">
        <is>
          <t>311-30.1KCRTR-ND</t>
        </is>
      </c>
      <c r="I22" t="inlineStr">
        <is>
          <t>YAGEO</t>
        </is>
      </c>
      <c r="J22" t="n">
        <v>78867</v>
      </c>
      <c r="K22" t="inlineStr">
        <is>
          <t>Active</t>
        </is>
      </c>
      <c r="L22" t="n">
        <v>2</v>
      </c>
      <c r="M22" t="n">
        <v>1</v>
      </c>
      <c r="N22" s="3" t="n">
        <v>0.1</v>
      </c>
      <c r="O22" s="3">
        <f>N22*L22</f>
        <v/>
      </c>
      <c r="Q22" t="inlineStr">
        <is>
          <t>https://yageogroup.com/content/datasheet/asset/file/PYU-RC_GROUP_51_ROHS_L</t>
        </is>
      </c>
    </row>
    <row r="23">
      <c r="A23" t="inlineStr">
        <is>
          <t>3</t>
        </is>
      </c>
      <c r="B23" t="inlineStr">
        <is>
          <t>RC0805FR-0733RL</t>
        </is>
      </c>
      <c r="C23" t="inlineStr">
        <is>
          <t>YAGEO</t>
        </is>
      </c>
      <c r="D23" t="inlineStr">
        <is>
          <t>DIG_Card R311,R316,R317</t>
        </is>
      </c>
      <c r="E23" t="inlineStr">
        <is>
          <t>33R</t>
        </is>
      </c>
      <c r="F23" t="inlineStr">
        <is>
          <t>R_0805_2012Metric</t>
        </is>
      </c>
      <c r="G23" t="inlineStr">
        <is>
          <t>Res 33R 1% 0805 (clock series term)</t>
        </is>
      </c>
      <c r="H23" t="inlineStr">
        <is>
          <t>311-33.0CRTR-ND</t>
        </is>
      </c>
      <c r="I23" t="inlineStr">
        <is>
          <t>YAGEO</t>
        </is>
      </c>
      <c r="J23" t="n">
        <v>428699</v>
      </c>
      <c r="K23" t="inlineStr">
        <is>
          <t>Active</t>
        </is>
      </c>
      <c r="L23" t="n">
        <v>3</v>
      </c>
      <c r="M23" t="n">
        <v>1</v>
      </c>
      <c r="N23" s="3" t="n">
        <v>0.1</v>
      </c>
      <c r="O23" s="3">
        <f>N23*L23</f>
        <v/>
      </c>
      <c r="Q23" t="inlineStr">
        <is>
          <t>https://yageogroup.com/content/datasheet/asset/file/PYU-RC_GROUP_51_ROHS_L</t>
        </is>
      </c>
    </row>
    <row r="24">
      <c r="A24" t="inlineStr">
        <is>
          <t>1</t>
        </is>
      </c>
      <c r="B24" t="inlineStr">
        <is>
          <t>RC0805FR-0738K3L</t>
        </is>
      </c>
      <c r="C24" t="inlineStr">
        <is>
          <t>YAGEO</t>
        </is>
      </c>
      <c r="D24" t="inlineStr">
        <is>
          <t>DIG_Card VM_R71</t>
        </is>
      </c>
      <c r="E24" t="inlineStr">
        <is>
          <t>38.3k</t>
        </is>
      </c>
      <c r="F24" t="inlineStr">
        <is>
          <t>R_0805_2012Metric_Pad1.20x1.40mm_HandSolder</t>
        </is>
      </c>
      <c r="G24" t="inlineStr">
        <is>
          <t>Res 38.3k 1% 0805 (VM divider)</t>
        </is>
      </c>
      <c r="H24" t="inlineStr">
        <is>
          <t>311-38.3KCRTR-ND</t>
        </is>
      </c>
      <c r="I24" t="inlineStr">
        <is>
          <t>YAGEO</t>
        </is>
      </c>
      <c r="J24" t="n">
        <v>62039</v>
      </c>
      <c r="K24" t="inlineStr">
        <is>
          <t>Active</t>
        </is>
      </c>
      <c r="L24" t="n">
        <v>1</v>
      </c>
      <c r="M24" t="n">
        <v>1</v>
      </c>
      <c r="N24" s="3" t="n">
        <v>0.1</v>
      </c>
      <c r="O24" s="3">
        <f>N24*L24</f>
        <v/>
      </c>
      <c r="Q24" t="inlineStr">
        <is>
          <t>https://yageogroup.com/content/datasheet/asset/file/PYU-RC_GROUP_51_ROHS_L</t>
        </is>
      </c>
    </row>
    <row r="25">
      <c r="A25" t="inlineStr">
        <is>
          <t>1</t>
        </is>
      </c>
      <c r="B25" t="inlineStr">
        <is>
          <t>RC0805FR-074K42L</t>
        </is>
      </c>
      <c r="C25" t="inlineStr">
        <is>
          <t>YAGEO</t>
        </is>
      </c>
      <c r="D25" t="inlineStr">
        <is>
          <t>DIG_Card VM_R83</t>
        </is>
      </c>
      <c r="E25" t="inlineStr">
        <is>
          <t>4.42k</t>
        </is>
      </c>
      <c r="F25" t="inlineStr">
        <is>
          <t>R_0805_2012Metric_Pad1.20x1.40mm_HandSolder</t>
        </is>
      </c>
      <c r="G25" t="inlineStr">
        <is>
          <t>Res 4.42k 1% 0805 (VM divider)</t>
        </is>
      </c>
      <c r="H25" t="inlineStr">
        <is>
          <t>311-4.42KCRTR-ND</t>
        </is>
      </c>
      <c r="I25" t="inlineStr">
        <is>
          <t>YAGEO</t>
        </is>
      </c>
      <c r="J25" t="n">
        <v>48288</v>
      </c>
      <c r="K25" t="inlineStr">
        <is>
          <t>Active</t>
        </is>
      </c>
      <c r="L25" t="n">
        <v>1</v>
      </c>
      <c r="M25" t="n">
        <v>1</v>
      </c>
      <c r="N25" s="3" t="n">
        <v>0.1</v>
      </c>
      <c r="O25" s="3">
        <f>N25*L25</f>
        <v/>
      </c>
      <c r="Q25" t="inlineStr">
        <is>
          <t>https://yageogroup.com/content/datasheet/asset/file/PYU-RC_GROUP_51_ROHS_L</t>
        </is>
      </c>
    </row>
    <row r="26">
      <c r="A26" t="inlineStr">
        <is>
          <t>9</t>
        </is>
      </c>
      <c r="B26" t="inlineStr">
        <is>
          <t>RC0805FR-074K7L</t>
        </is>
      </c>
      <c r="C26" t="inlineStr">
        <is>
          <t>YAGEO</t>
        </is>
      </c>
      <c r="D26" t="inlineStr">
        <is>
          <t>DIG_Card VM_R97,VM_R98,VM_R99,VM_R100,VM_R101,VM_R102,VM_R103,VM_R104,VM_R105</t>
        </is>
      </c>
      <c r="E26" t="inlineStr">
        <is>
          <t>4.7k</t>
        </is>
      </c>
      <c r="F26" t="inlineStr">
        <is>
          <t>R_0805_2012Metric_Pad1.20x1.40mm_HandSolder</t>
        </is>
      </c>
      <c r="G26" t="inlineStr">
        <is>
          <t>Res 4.7k 1% 0805 (VM divider)</t>
        </is>
      </c>
      <c r="H26" t="inlineStr">
        <is>
          <t>311-4.70KCRTR-ND</t>
        </is>
      </c>
      <c r="I26" t="inlineStr">
        <is>
          <t>YAGEO</t>
        </is>
      </c>
      <c r="J26" t="n">
        <v>443324</v>
      </c>
      <c r="K26" t="inlineStr">
        <is>
          <t>Active</t>
        </is>
      </c>
      <c r="L26" t="n">
        <v>9</v>
      </c>
      <c r="M26" t="n">
        <v>1</v>
      </c>
      <c r="N26" s="3" t="n">
        <v>0.1</v>
      </c>
      <c r="O26" s="3">
        <f>N26*L26</f>
        <v/>
      </c>
      <c r="Q26" t="inlineStr">
        <is>
          <t>https://yageogroup.com/content/datasheet/asset/file/PYU-RC_GROUP_51_ROHS_L</t>
        </is>
      </c>
    </row>
    <row r="27">
      <c r="A27" t="inlineStr">
        <is>
          <t>1</t>
        </is>
      </c>
      <c r="B27" t="inlineStr">
        <is>
          <t>RC0805FR-0740K2L</t>
        </is>
      </c>
      <c r="C27" t="inlineStr">
        <is>
          <t>YAGEO</t>
        </is>
      </c>
      <c r="D27" t="inlineStr">
        <is>
          <t>DIG_Card VM_R61</t>
        </is>
      </c>
      <c r="E27" t="inlineStr">
        <is>
          <t>40.2k</t>
        </is>
      </c>
      <c r="F27" t="inlineStr">
        <is>
          <t>R_0805_2012Metric_Pad1.20x1.40mm_HandSolder</t>
        </is>
      </c>
      <c r="G27" t="inlineStr">
        <is>
          <t>Res 40.2k 1% 0805 (VM divider)</t>
        </is>
      </c>
      <c r="H27" t="inlineStr">
        <is>
          <t>311-40.2KCRTR-ND</t>
        </is>
      </c>
      <c r="I27" t="inlineStr">
        <is>
          <t>YAGEO</t>
        </is>
      </c>
      <c r="J27" t="n">
        <v>97618</v>
      </c>
      <c r="K27" t="inlineStr">
        <is>
          <t>Active</t>
        </is>
      </c>
      <c r="L27" t="n">
        <v>1</v>
      </c>
      <c r="M27" t="n">
        <v>1</v>
      </c>
      <c r="N27" s="3" t="n">
        <v>0.1</v>
      </c>
      <c r="O27" s="3">
        <f>N27*L27</f>
        <v/>
      </c>
      <c r="Q27" t="inlineStr">
        <is>
          <t>https://yageogroup.com/content/datasheet/asset/file/PYU-RC_GROUP_51_ROHS_L</t>
        </is>
      </c>
    </row>
    <row r="28">
      <c r="A28" t="inlineStr">
        <is>
          <t>1</t>
        </is>
      </c>
      <c r="B28" t="inlineStr">
        <is>
          <t>RC0805FR-0747K5L</t>
        </is>
      </c>
      <c r="C28" t="inlineStr">
        <is>
          <t>YAGEO</t>
        </is>
      </c>
      <c r="D28" t="inlineStr">
        <is>
          <t>DIG_Card VM_R64</t>
        </is>
      </c>
      <c r="E28" t="inlineStr">
        <is>
          <t>47.5k</t>
        </is>
      </c>
      <c r="F28" t="inlineStr">
        <is>
          <t>R_0805_2012Metric_Pad1.20x1.40mm_HandSolder</t>
        </is>
      </c>
      <c r="G28" t="inlineStr">
        <is>
          <t>Res 47.5k 1% 0805 (VM divider)</t>
        </is>
      </c>
      <c r="H28" t="inlineStr">
        <is>
          <t>311-47.5KCRTR-ND</t>
        </is>
      </c>
      <c r="I28" t="inlineStr">
        <is>
          <t>YAGEO</t>
        </is>
      </c>
      <c r="J28" t="n">
        <v>13611</v>
      </c>
      <c r="K28" t="inlineStr">
        <is>
          <t>Active</t>
        </is>
      </c>
      <c r="L28" t="n">
        <v>1</v>
      </c>
      <c r="M28" t="n">
        <v>1</v>
      </c>
      <c r="N28" s="3" t="n">
        <v>0.1</v>
      </c>
      <c r="O28" s="3">
        <f>N28*L28</f>
        <v/>
      </c>
      <c r="Q28" t="inlineStr">
        <is>
          <t>https://yageogroup.com/content/datasheet/asset/file/PYU-RC_GROUP_51_ROHS_L</t>
        </is>
      </c>
    </row>
    <row r="29">
      <c r="A29" t="inlineStr">
        <is>
          <t>2</t>
        </is>
      </c>
      <c r="B29" t="inlineStr">
        <is>
          <t>C0805C471J5GACTU</t>
        </is>
      </c>
      <c r="C29" t="inlineStr">
        <is>
          <t>KEMET</t>
        </is>
      </c>
      <c r="D29" t="inlineStr">
        <is>
          <t>DIG_Card C310,C311</t>
        </is>
      </c>
      <c r="E29" t="inlineStr">
        <is>
          <t>470pF</t>
        </is>
      </c>
      <c r="F29" t="inlineStr">
        <is>
          <t>C_0805_2012Metric</t>
        </is>
      </c>
      <c r="G29" t="inlineStr">
        <is>
          <t>MLCC 470pF 50V C0G 0805 - MOD LPF provision: ORDER but DO NOT POPULATE initially</t>
        </is>
      </c>
      <c r="H29" t="inlineStr">
        <is>
          <t>399-C0805C471J5GACTUTR-ND</t>
        </is>
      </c>
      <c r="I29" t="inlineStr">
        <is>
          <t>KEMET</t>
        </is>
      </c>
      <c r="J29" t="n">
        <v>16823</v>
      </c>
      <c r="K29" t="inlineStr">
        <is>
          <t>Active</t>
        </is>
      </c>
      <c r="L29" t="n">
        <v>2</v>
      </c>
      <c r="M29" t="n">
        <v>1</v>
      </c>
      <c r="N29" s="3" t="n">
        <v>0.19</v>
      </c>
      <c r="O29" s="3">
        <f>N29*L29</f>
        <v/>
      </c>
      <c r="Q29" t="inlineStr">
        <is>
          <t>https://yageogroup.com/content/datasheet/asset/file/KEM_C1003_C0G_SMD</t>
        </is>
      </c>
    </row>
    <row r="30">
      <c r="A30" t="inlineStr">
        <is>
          <t>2</t>
        </is>
      </c>
      <c r="B30" t="inlineStr">
        <is>
          <t>RC0805FR-0747RL</t>
        </is>
      </c>
      <c r="C30" t="inlineStr">
        <is>
          <t>YAGEO</t>
        </is>
      </c>
      <c r="D30" t="inlineStr">
        <is>
          <t>DIG_Card R306,R307</t>
        </is>
      </c>
      <c r="E30" t="inlineStr">
        <is>
          <t>47R</t>
        </is>
      </c>
      <c r="F30" t="inlineStr">
        <is>
          <t>R_0805_2012Metric</t>
        </is>
      </c>
      <c r="G30" t="inlineStr">
        <is>
          <t>Res 47R 1% 0805</t>
        </is>
      </c>
      <c r="H30" t="inlineStr">
        <is>
          <t>311-47.0CRTR-ND</t>
        </is>
      </c>
      <c r="I30" t="inlineStr">
        <is>
          <t>YAGEO</t>
        </is>
      </c>
      <c r="J30" t="n">
        <v>218802</v>
      </c>
      <c r="K30" t="inlineStr">
        <is>
          <t>Active</t>
        </is>
      </c>
      <c r="L30" t="n">
        <v>2</v>
      </c>
      <c r="M30" t="n">
        <v>1</v>
      </c>
      <c r="N30" s="3" t="n">
        <v>0.1</v>
      </c>
      <c r="O30" s="3">
        <f>N30*L30</f>
        <v/>
      </c>
      <c r="Q30" t="inlineStr">
        <is>
          <t>https://yageogroup.com/content/datasheet/asset/file/PYU-RC_GROUP_51_ROHS_L</t>
        </is>
      </c>
    </row>
    <row r="31">
      <c r="A31" t="inlineStr">
        <is>
          <t>3</t>
        </is>
      </c>
      <c r="B31" t="inlineStr">
        <is>
          <t>RC0805FR-0749R9L</t>
        </is>
      </c>
      <c r="C31" t="inlineStr">
        <is>
          <t>YAGEO</t>
        </is>
      </c>
      <c r="D31" t="inlineStr">
        <is>
          <t>DIG_Card R104,R312,R313</t>
        </is>
      </c>
      <c r="E31" t="inlineStr">
        <is>
          <t>49.9R</t>
        </is>
      </c>
      <c r="F31" t="inlineStr">
        <is>
          <t>R_0805_2012Metric</t>
        </is>
      </c>
      <c r="G31" t="inlineStr">
        <is>
          <t>Res 49.9R 1% 0805 (LO back-term)</t>
        </is>
      </c>
      <c r="H31" t="inlineStr">
        <is>
          <t>311-49.9CRTR-ND</t>
        </is>
      </c>
      <c r="I31" t="inlineStr">
        <is>
          <t>YAGEO</t>
        </is>
      </c>
      <c r="J31" t="n">
        <v>335385</v>
      </c>
      <c r="K31" t="inlineStr">
        <is>
          <t>Active</t>
        </is>
      </c>
      <c r="L31" t="n">
        <v>3</v>
      </c>
      <c r="M31" t="n">
        <v>1</v>
      </c>
      <c r="N31" s="3" t="n">
        <v>0.1</v>
      </c>
      <c r="O31" s="3">
        <f>N31*L31</f>
        <v/>
      </c>
      <c r="Q31" t="inlineStr">
        <is>
          <t>https://yageogroup.com/content/datasheet/asset/file/PYU-RC_GROUP_51_ROHS_L</t>
        </is>
      </c>
      <c r="R31" t="inlineStr">
        <is>
          <t>APPROX MATCH -&gt; RC0805FR-0749R9L (verify)</t>
        </is>
      </c>
    </row>
    <row r="32">
      <c r="A32" t="inlineStr">
        <is>
          <t>2</t>
        </is>
      </c>
      <c r="B32" t="inlineStr">
        <is>
          <t>MPZ2012S601AT000</t>
        </is>
      </c>
      <c r="C32" t="inlineStr">
        <is>
          <t>TDK</t>
        </is>
      </c>
      <c r="D32" t="inlineStr">
        <is>
          <t>DIG_Card FB301,FB302</t>
        </is>
      </c>
      <c r="E32" t="inlineStr">
        <is>
          <t>600R@100MHz</t>
        </is>
      </c>
      <c r="F32" t="inlineStr">
        <is>
          <t>L_0805_2012Metric</t>
        </is>
      </c>
      <c r="G32" t="inlineStr">
        <is>
          <t>Ferrite bead 600R@100MHz 0805 (clock rail filter)</t>
        </is>
      </c>
      <c r="H32" t="inlineStr">
        <is>
          <t>445-MPZ2012S601AT000TR-ND</t>
        </is>
      </c>
      <c r="I32" t="inlineStr">
        <is>
          <t>TDK</t>
        </is>
      </c>
      <c r="J32" t="n">
        <v>893594</v>
      </c>
      <c r="K32" t="inlineStr">
        <is>
          <t>Active</t>
        </is>
      </c>
      <c r="L32" t="n">
        <v>2</v>
      </c>
      <c r="M32" t="n">
        <v>1</v>
      </c>
      <c r="N32" s="3" t="n">
        <v>0.11</v>
      </c>
      <c r="O32" s="3">
        <f>N32*L32</f>
        <v/>
      </c>
      <c r="Q32" t="inlineStr">
        <is>
          <t>https://product.tdk.com/system/files/dam/doc/product/emc/emc/beads/catalog/beads_commercial_power_mpz2012_en.pdf?ref_disty=digikey</t>
        </is>
      </c>
    </row>
    <row r="33">
      <c r="A33" t="inlineStr">
        <is>
          <t>1</t>
        </is>
      </c>
      <c r="B33" t="inlineStr">
        <is>
          <t>SN74LVC1G125DBVR</t>
        </is>
      </c>
      <c r="C33" t="inlineStr">
        <is>
          <t>Texas Instruments</t>
        </is>
      </c>
      <c r="D33" t="inlineStr">
        <is>
          <t>DIG_Card U303</t>
        </is>
      </c>
      <c r="E33" t="inlineStr">
        <is>
          <t>74LVC1G125</t>
        </is>
      </c>
      <c r="F33" t="inlineStr">
        <is>
          <t>SOT-23-5</t>
        </is>
      </c>
      <c r="G33" t="inlineStr">
        <is>
          <t>Single buffer/3-state (10MHz clock buf)</t>
        </is>
      </c>
      <c r="H33" t="inlineStr">
        <is>
          <t>296-11603-2-ND</t>
        </is>
      </c>
      <c r="I33" t="inlineStr">
        <is>
          <t>Texas Instruments</t>
        </is>
      </c>
      <c r="J33" t="n">
        <v>614976</v>
      </c>
      <c r="K33" t="inlineStr">
        <is>
          <t>Active</t>
        </is>
      </c>
      <c r="L33" t="n">
        <v>1</v>
      </c>
      <c r="M33" t="n">
        <v>1</v>
      </c>
      <c r="N33" s="3" t="n">
        <v>0.17</v>
      </c>
      <c r="O33" s="3">
        <f>N33*L33</f>
        <v/>
      </c>
      <c r="Q33" t="inlineStr">
        <is>
          <t>https://www.ti.com/general/docs/suppproductinfo.tsp?distId=10&amp;gotoUrl=https%3A%2F%2Fwww.ti.com%2Flit%2Fgpn%2Fsn74lvc1g125</t>
        </is>
      </c>
      <c r="R33" t="inlineStr">
        <is>
          <t>APPROX MATCH -&gt; SN74LVC1G125DBVR (verify)</t>
        </is>
      </c>
    </row>
    <row r="34">
      <c r="A34" t="inlineStr">
        <is>
          <t>1</t>
        </is>
      </c>
      <c r="B34" t="inlineStr">
        <is>
          <t>RC0805FR-079K53L</t>
        </is>
      </c>
      <c r="C34" t="inlineStr">
        <is>
          <t>YAGEO</t>
        </is>
      </c>
      <c r="D34" t="inlineStr">
        <is>
          <t>DIG_Card VM_R52</t>
        </is>
      </c>
      <c r="E34" t="inlineStr">
        <is>
          <t>9.53k</t>
        </is>
      </c>
      <c r="F34" t="inlineStr">
        <is>
          <t>R_0805_2012Metric_Pad1.20x1.40mm_HandSolder</t>
        </is>
      </c>
      <c r="G34" t="inlineStr">
        <is>
          <t>Res 9.53k 1% 0805 (VM divider)</t>
        </is>
      </c>
      <c r="H34" t="inlineStr">
        <is>
          <t>311-9.53KCRTR-ND</t>
        </is>
      </c>
      <c r="I34" t="inlineStr">
        <is>
          <t>YAGEO</t>
        </is>
      </c>
      <c r="J34" t="n">
        <v>118208</v>
      </c>
      <c r="K34" t="inlineStr">
        <is>
          <t>Active</t>
        </is>
      </c>
      <c r="L34" t="n">
        <v>1</v>
      </c>
      <c r="M34" t="n">
        <v>1</v>
      </c>
      <c r="N34" s="3" t="n">
        <v>0.1</v>
      </c>
      <c r="O34" s="3">
        <f>N34*L34</f>
        <v/>
      </c>
      <c r="Q34" t="inlineStr">
        <is>
          <t>https://yageogroup.com/content/datasheet/asset/file/PYU-RC_GROUP_51_ROHS_L</t>
        </is>
      </c>
    </row>
    <row r="35">
      <c r="A35" t="inlineStr">
        <is>
          <t>4</t>
        </is>
      </c>
      <c r="B35" t="inlineStr">
        <is>
          <t>AD9833BRMZ</t>
        </is>
      </c>
      <c r="C35" t="inlineStr">
        <is>
          <t>Analog Devices</t>
        </is>
      </c>
      <c r="D35" t="inlineStr">
        <is>
          <t>DIG_Card U34,U35,U38,U39</t>
        </is>
      </c>
      <c r="E35" t="inlineStr">
        <is>
          <t>AD9833xRM</t>
        </is>
      </c>
      <c r="F35" t="inlineStr">
        <is>
          <t>MSOP-10_3x3mm_P0.5mm</t>
        </is>
      </c>
      <c r="G35" t="inlineStr">
        <is>
          <t>DDS waveform gen 25MHz (CH2 ref LO)</t>
        </is>
      </c>
      <c r="H35" t="inlineStr">
        <is>
          <t>505-AD9833BRMZ-ND</t>
        </is>
      </c>
      <c r="I35" t="inlineStr">
        <is>
          <t>Analog Devices Inc.</t>
        </is>
      </c>
      <c r="J35" t="n">
        <v>4137</v>
      </c>
      <c r="K35" t="inlineStr">
        <is>
          <t>Active</t>
        </is>
      </c>
      <c r="L35" t="n">
        <v>4</v>
      </c>
      <c r="M35" t="n">
        <v>1</v>
      </c>
      <c r="N35" s="3" t="n">
        <v>15.19</v>
      </c>
      <c r="O35" s="3">
        <f>N35*L35</f>
        <v/>
      </c>
      <c r="Q35" t="inlineStr">
        <is>
          <t>https://www.analog.com/media/en/technical-documentation/data-sheets/AD9833.pdf</t>
        </is>
      </c>
    </row>
    <row r="36">
      <c r="A36" t="inlineStr">
        <is>
          <t>1</t>
        </is>
      </c>
      <c r="B36" t="inlineStr">
        <is>
          <t>ASE-10.000MHZ-LC-T</t>
        </is>
      </c>
      <c r="C36" t="inlineStr">
        <is>
          <t>Abracon</t>
        </is>
      </c>
      <c r="D36" t="inlineStr">
        <is>
          <t>DIG_Card Y1</t>
        </is>
      </c>
      <c r="E36" t="inlineStr">
        <is>
          <t>ASE-10.000MHZ-LC-T</t>
        </is>
      </c>
      <c r="F36" t="inlineStr">
        <is>
          <t>XTAL_ASE-10.000MHZ-LC-T</t>
        </is>
      </c>
      <c r="G36" t="inlineStr">
        <is>
          <t>10MHz CMOS XO 3.3V (Y1)</t>
        </is>
      </c>
      <c r="H36" t="inlineStr">
        <is>
          <t>535-ASE-10.000MHZ-L-C-TTR-ND</t>
        </is>
      </c>
      <c r="I36" t="inlineStr">
        <is>
          <t>Abracon LLC</t>
        </is>
      </c>
      <c r="J36" t="n">
        <v>3890</v>
      </c>
      <c r="K36" t="inlineStr">
        <is>
          <t>Active</t>
        </is>
      </c>
      <c r="L36" t="n">
        <v>1</v>
      </c>
      <c r="M36" t="n">
        <v>1</v>
      </c>
      <c r="N36" s="3" t="n">
        <v>1.38</v>
      </c>
      <c r="O36" s="3">
        <f>N36*L36</f>
        <v/>
      </c>
      <c r="Q36" t="inlineStr">
        <is>
          <t>https://abracon.com/Oscillators/ASEseries.pdf</t>
        </is>
      </c>
      <c r="R36" t="inlineStr">
        <is>
          <t>APPROX MATCH -&gt; ASE-10.000MHZ-L-C-T (verify)</t>
        </is>
      </c>
    </row>
    <row r="37">
      <c r="A37" t="inlineStr">
        <is>
          <t>2</t>
        </is>
      </c>
      <c r="B37" t="inlineStr">
        <is>
          <t>BAT54S-7-F</t>
        </is>
      </c>
      <c r="C37" t="inlineStr">
        <is>
          <t>Diodes Incorporated</t>
        </is>
      </c>
      <c r="D37" t="inlineStr">
        <is>
          <t>DIG_Card D301,D302</t>
        </is>
      </c>
      <c r="E37" t="inlineStr">
        <is>
          <t>BAT54S</t>
        </is>
      </c>
      <c r="F37" t="inlineStr">
        <is>
          <t>SOT-23</t>
        </is>
      </c>
      <c r="G37" t="inlineStr">
        <is>
          <t>Dual Schottky series (ERR2 ADC clamp)</t>
        </is>
      </c>
      <c r="H37" t="inlineStr">
        <is>
          <t>BAT54S-FDITR-ND</t>
        </is>
      </c>
      <c r="I37" t="inlineStr">
        <is>
          <t>Diodes Incorporated</t>
        </is>
      </c>
      <c r="J37" t="n">
        <v>0</v>
      </c>
      <c r="K37" t="inlineStr">
        <is>
          <t>Active</t>
        </is>
      </c>
      <c r="L37" t="n">
        <v>2</v>
      </c>
      <c r="M37" t="n">
        <v>1</v>
      </c>
      <c r="N37" s="3" t="n">
        <v>0.22</v>
      </c>
      <c r="O37" s="3">
        <f>N37*L37</f>
        <v/>
      </c>
      <c r="Q37" t="inlineStr">
        <is>
          <t>https://www.diodes.com/assets/Datasheets/BAT54_A_C_S.pdf</t>
        </is>
      </c>
      <c r="R37" t="inlineStr">
        <is>
          <t>LOW STOCK (0 &lt; 2)</t>
        </is>
      </c>
    </row>
    <row r="38">
      <c r="A38" t="inlineStr">
        <is>
          <t>9</t>
        </is>
      </c>
      <c r="B38" t="inlineStr">
        <is>
          <t>BAT54WS-7-F</t>
        </is>
      </c>
      <c r="C38" t="inlineStr">
        <is>
          <t>Diodes Incorporated</t>
        </is>
      </c>
      <c r="D38" t="inlineStr">
        <is>
          <t>DIG_Card D303,D304,D305,D306,D307,D308,D309,D310,D311</t>
        </is>
      </c>
      <c r="E38" t="inlineStr">
        <is>
          <t>BAT54WS</t>
        </is>
      </c>
      <c r="F38" t="inlineStr">
        <is>
          <t>D_SOD-323</t>
        </is>
      </c>
      <c r="G38" t="inlineStr">
        <is>
          <t>Schottky (VM fault diode-OR)</t>
        </is>
      </c>
      <c r="H38" t="inlineStr">
        <is>
          <t>BAT54WS-FDITR-ND</t>
        </is>
      </c>
      <c r="I38" t="inlineStr">
        <is>
          <t>Diodes Incorporated</t>
        </is>
      </c>
      <c r="J38" t="n">
        <v>148400</v>
      </c>
      <c r="K38" t="inlineStr">
        <is>
          <t>Active</t>
        </is>
      </c>
      <c r="L38" t="n">
        <v>9</v>
      </c>
      <c r="M38" t="n">
        <v>1</v>
      </c>
      <c r="N38" s="3" t="n">
        <v>0.22</v>
      </c>
      <c r="O38" s="3">
        <f>N38*L38</f>
        <v/>
      </c>
      <c r="Q38" t="inlineStr">
        <is>
          <t>https://www.diodes.com/assets/Datasheets/BAT54WS.pdf</t>
        </is>
      </c>
    </row>
    <row r="39">
      <c r="A39" t="inlineStr">
        <is>
          <t>1</t>
        </is>
      </c>
      <c r="B39" t="inlineStr">
        <is>
          <t>BAV99-7-F</t>
        </is>
      </c>
      <c r="C39" t="inlineStr">
        <is>
          <t>Diodes Incorporated</t>
        </is>
      </c>
      <c r="D39" t="inlineStr">
        <is>
          <t>DIG_Card D24</t>
        </is>
      </c>
      <c r="E39" t="inlineStr">
        <is>
          <t>BAV99</t>
        </is>
      </c>
      <c r="F39" t="inlineStr">
        <is>
          <t>SOT-23</t>
        </is>
      </c>
      <c r="G39" t="inlineStr">
        <is>
          <t>Dual switching diode (ERR clamp)</t>
        </is>
      </c>
      <c r="H39" t="inlineStr">
        <is>
          <t>BAV99-FDITR-ND</t>
        </is>
      </c>
      <c r="I39" t="inlineStr">
        <is>
          <t>Diodes Incorporated</t>
        </is>
      </c>
      <c r="J39" t="n">
        <v>2092350</v>
      </c>
      <c r="K39" t="inlineStr">
        <is>
          <t>Active</t>
        </is>
      </c>
      <c r="L39" t="n">
        <v>1</v>
      </c>
      <c r="M39" t="n">
        <v>1</v>
      </c>
      <c r="N39" s="3" t="n">
        <v>0.18</v>
      </c>
      <c r="O39" s="3">
        <f>N39*L39</f>
        <v/>
      </c>
      <c r="Q39" t="inlineStr">
        <is>
          <t>https://www.diodes.com/assets/Datasheets/BAV99.pdf</t>
        </is>
      </c>
    </row>
    <row r="40">
      <c r="A40" t="inlineStr">
        <is>
          <t>1</t>
        </is>
      </c>
      <c r="B40" t="inlineStr">
        <is>
          <t>CDCE913PWR</t>
        </is>
      </c>
      <c r="C40" t="inlineStr">
        <is>
          <t>Texas Instruments</t>
        </is>
      </c>
      <c r="D40" t="inlineStr">
        <is>
          <t>DIG_Card U42</t>
        </is>
      </c>
      <c r="E40" t="inlineStr">
        <is>
          <t>CDCE913PWG4</t>
        </is>
      </c>
      <c r="F40" t="inlineStr">
        <is>
          <t>SOP65P640X120-14N</t>
        </is>
      </c>
      <c r="G40" t="inlineStr">
        <is>
          <t>1-PLL clock synth (CDCE913)</t>
        </is>
      </c>
      <c r="H40" t="inlineStr">
        <is>
          <t>296-38908-2-ND</t>
        </is>
      </c>
      <c r="I40" t="inlineStr">
        <is>
          <t>Texas Instruments</t>
        </is>
      </c>
      <c r="J40" t="n">
        <v>3250</v>
      </c>
      <c r="K40" t="inlineStr">
        <is>
          <t>Active</t>
        </is>
      </c>
      <c r="L40" t="n">
        <v>1</v>
      </c>
      <c r="M40" t="n">
        <v>1</v>
      </c>
      <c r="N40" s="3" t="n">
        <v>5.4</v>
      </c>
      <c r="O40" s="3">
        <f>N40*L40</f>
        <v/>
      </c>
      <c r="Q40" t="inlineStr">
        <is>
          <t>https://www.ti.com/general/docs/suppproductinfo.tsp?distId=10&amp;gotoUrl=https%3A%2F%2Fwww.ti.com%2Flit%2Fgpn%2Fcdce913</t>
        </is>
      </c>
    </row>
    <row r="41">
      <c r="A41" t="inlineStr">
        <is>
          <t>1</t>
        </is>
      </c>
      <c r="B41" t="inlineStr">
        <is>
          <t>1568-COM-28379-ND</t>
        </is>
      </c>
      <c r="C41" t="inlineStr">
        <is>
          <t>SparkFun</t>
        </is>
      </c>
      <c r="D41" t="inlineStr">
        <is>
          <t>DIG_Card U44</t>
        </is>
      </c>
      <c r="E41" t="inlineStr">
        <is>
          <t>CR2013-MI2120</t>
        </is>
      </c>
      <c r="F41" t="inlineStr">
        <is>
          <t>CR2013-MI2120</t>
        </is>
      </c>
      <c r="G41" t="inlineStr">
        <is>
          <t>2.4in ILI9341 320x240 SPI TFT (DigiKey 1568-COM-28379-ND; may be cabled off-board)</t>
        </is>
      </c>
      <c r="H41" t="inlineStr">
        <is>
          <t>1568-COM-28379-ND</t>
        </is>
      </c>
      <c r="I41" t="inlineStr">
        <is>
          <t>SparkFun Electronics</t>
        </is>
      </c>
      <c r="J41" t="n">
        <v>249</v>
      </c>
      <c r="K41" t="inlineStr">
        <is>
          <t>Active</t>
        </is>
      </c>
      <c r="L41" t="n">
        <v>1</v>
      </c>
      <c r="M41" t="n">
        <v>1</v>
      </c>
      <c r="N41" s="3" t="n">
        <v>16</v>
      </c>
      <c r="O41" s="3">
        <f>N41*L41</f>
        <v/>
      </c>
    </row>
    <row r="42">
      <c r="A42" t="inlineStr">
        <is>
          <t>1</t>
        </is>
      </c>
      <c r="B42" t="inlineStr">
        <is>
          <t>374144-E</t>
        </is>
      </c>
      <c r="C42" t="inlineStr">
        <is>
          <t>TE Connectivity</t>
        </is>
      </c>
      <c r="D42" t="inlineStr">
        <is>
          <t>DIG_Card J301</t>
        </is>
      </c>
      <c r="E42" t="inlineStr">
        <is>
          <t>DIN41612_M_universal</t>
        </is>
      </c>
      <c r="F42" t="inlineStr">
        <is>
          <t>DIN41612_M_3x8+8_Male_Horizontal_THT_Power</t>
        </is>
      </c>
      <c r="G42" t="inlineStr">
        <is>
          <t>DIN41612 Type M 24sig+8pwr male R/A</t>
        </is>
      </c>
      <c r="H42" t="inlineStr">
        <is>
          <t>2684-374144-E-ND</t>
        </is>
      </c>
      <c r="I42" t="inlineStr">
        <is>
          <t>TE Connectivity Erni</t>
        </is>
      </c>
      <c r="J42" t="n">
        <v>0</v>
      </c>
      <c r="K42" t="inlineStr">
        <is>
          <t>Active</t>
        </is>
      </c>
      <c r="L42" t="n">
        <v>1</v>
      </c>
      <c r="M42" t="n">
        <v>1</v>
      </c>
      <c r="N42" s="3" t="n">
        <v>10.31</v>
      </c>
      <c r="O42" s="3">
        <f>N42*L42</f>
        <v/>
      </c>
      <c r="Q42" t="inlineStr">
        <is>
          <t>https://www.erni.com/fileadmin/import/products/assets/DC0006731.PDF</t>
        </is>
      </c>
      <c r="R42" t="inlineStr">
        <is>
          <t>LOW STOCK (0 &lt; 1)</t>
        </is>
      </c>
    </row>
    <row r="43">
      <c r="A43" t="inlineStr">
        <is>
          <t>9</t>
        </is>
      </c>
      <c r="B43" t="inlineStr">
        <is>
          <t>150080GS75000</t>
        </is>
      </c>
      <c r="C43" t="inlineStr">
        <is>
          <t>Wurth Elektronik</t>
        </is>
      </c>
      <c r="D43" t="inlineStr">
        <is>
          <t>DIG_Card VM_D16,VM_D17,VM_D18,VM_D19,VM_D20,VM_D21,VM_D22,VM_D23,VM_D24</t>
        </is>
      </c>
      <c r="E43" t="inlineStr">
        <is>
          <t>Green LED</t>
        </is>
      </c>
      <c r="F43" t="inlineStr">
        <is>
          <t>LED_0805_2012Metric_Pad1.15x1.40mm_HandSolder</t>
        </is>
      </c>
      <c r="G43" t="inlineStr">
        <is>
          <t>Green LED 0805 rail-status indicator</t>
        </is>
      </c>
      <c r="H43" t="inlineStr">
        <is>
          <t>732-4983-2-ND</t>
        </is>
      </c>
      <c r="I43" t="inlineStr">
        <is>
          <t>Würth Elektronik</t>
        </is>
      </c>
      <c r="J43" t="n">
        <v>119027</v>
      </c>
      <c r="K43" t="inlineStr">
        <is>
          <t>Active</t>
        </is>
      </c>
      <c r="L43" t="n">
        <v>9</v>
      </c>
      <c r="M43" t="n">
        <v>1</v>
      </c>
      <c r="N43" s="3" t="n">
        <v>0.19</v>
      </c>
      <c r="O43" s="3">
        <f>N43*L43</f>
        <v/>
      </c>
      <c r="Q43" t="inlineStr">
        <is>
          <t>https://www.we-online.com/components/products/datasheet/150080GS75000.pdf</t>
        </is>
      </c>
    </row>
    <row r="44">
      <c r="A44" t="inlineStr">
        <is>
          <t>5</t>
        </is>
      </c>
      <c r="B44" t="inlineStr">
        <is>
          <t>LM339DR</t>
        </is>
      </c>
      <c r="C44" t="inlineStr">
        <is>
          <t>Texas Instruments</t>
        </is>
      </c>
      <c r="D44" t="inlineStr">
        <is>
          <t>DIG_Card VM_U23,VM_U25,VM_U26,VM_U27,VM_U28</t>
        </is>
      </c>
      <c r="E44" t="inlineStr">
        <is>
          <t>LM339</t>
        </is>
      </c>
      <c r="F44" t="inlineStr">
        <is>
          <t>SOIC-14_3.9x8.7mm_P1.27mm</t>
        </is>
      </c>
      <c r="G44" t="inlineStr">
        <is>
          <t>Quad comparator (voltage-monitor windows)</t>
        </is>
      </c>
      <c r="H44" t="inlineStr">
        <is>
          <t>296-1013-2-ND</t>
        </is>
      </c>
      <c r="I44" t="inlineStr">
        <is>
          <t>Texas Instruments</t>
        </is>
      </c>
      <c r="J44" t="n">
        <v>14994</v>
      </c>
      <c r="K44" t="inlineStr">
        <is>
          <t>Active</t>
        </is>
      </c>
      <c r="L44" t="n">
        <v>5</v>
      </c>
      <c r="M44" t="n">
        <v>1</v>
      </c>
      <c r="N44" s="3" t="n">
        <v>0.27</v>
      </c>
      <c r="O44" s="3">
        <f>N44*L44</f>
        <v/>
      </c>
      <c r="Q44" t="inlineStr">
        <is>
          <t>https://www.ti.com/lit/ds/symlink/lm139.pdf?ts=1753716937461&amp;ref_url=https%253A%252F%252Fwww.ti.com%252Fproduct%252FLM139</t>
        </is>
      </c>
      <c r="R44" t="inlineStr">
        <is>
          <t>APPROX MATCH -&gt; LM339DR (verify)</t>
        </is>
      </c>
    </row>
    <row r="45">
      <c r="A45" t="inlineStr">
        <is>
          <t>1</t>
        </is>
      </c>
      <c r="B45" t="inlineStr">
        <is>
          <t>LMV7219M5/NOPB</t>
        </is>
      </c>
      <c r="C45" t="inlineStr">
        <is>
          <t>Texas Instruments</t>
        </is>
      </c>
      <c r="D45" t="inlineStr">
        <is>
          <t>DIG_Card U40</t>
        </is>
      </c>
      <c r="E45" t="inlineStr">
        <is>
          <t>LMV7219M5</t>
        </is>
      </c>
      <c r="F45" t="inlineStr">
        <is>
          <t>SOT-23-5</t>
        </is>
      </c>
      <c r="G45" t="inlineStr">
        <is>
          <t>7ns comparator (ext-ref squarer)</t>
        </is>
      </c>
      <c r="H45" t="inlineStr">
        <is>
          <t>LMV7219M5/NOPBTR-ND</t>
        </is>
      </c>
      <c r="I45" t="inlineStr">
        <is>
          <t>Texas Instruments</t>
        </is>
      </c>
      <c r="J45" t="n">
        <v>9084</v>
      </c>
      <c r="K45" t="inlineStr">
        <is>
          <t>Active</t>
        </is>
      </c>
      <c r="L45" t="n">
        <v>1</v>
      </c>
      <c r="M45" t="n">
        <v>1</v>
      </c>
      <c r="N45" s="3" t="n">
        <v>3.44</v>
      </c>
      <c r="O45" s="3">
        <f>N45*L45</f>
        <v/>
      </c>
      <c r="Q45" t="inlineStr">
        <is>
          <t>https://www.ti.com/general/docs/suppproductinfo.tsp?distId=10&amp;gotoUrl=http%3A%2F%2Fwww.ti.com%2Flit%2Fgpn%2Flmv7219</t>
        </is>
      </c>
    </row>
    <row r="46">
      <c r="A46" t="inlineStr">
        <is>
          <t>1</t>
        </is>
      </c>
      <c r="B46" t="inlineStr">
        <is>
          <t>MCP6002-E/SN</t>
        </is>
      </c>
      <c r="C46" t="inlineStr">
        <is>
          <t>Microchip</t>
        </is>
      </c>
      <c r="D46" t="inlineStr">
        <is>
          <t>DIG_Card VM_U22</t>
        </is>
      </c>
      <c r="E46" t="inlineStr">
        <is>
          <t>MCP6002</t>
        </is>
      </c>
      <c r="F46" t="inlineStr">
        <is>
          <t>SOIC-8_3.9x4.9mm_P1.27mm</t>
        </is>
      </c>
      <c r="G46" t="inlineStr">
        <is>
          <t>Dual op-amp (VHI/VLO reference buffers)</t>
        </is>
      </c>
      <c r="H46" t="inlineStr">
        <is>
          <t>MCP6002-E/SN-ND</t>
        </is>
      </c>
      <c r="I46" t="inlineStr">
        <is>
          <t>Microchip Technology</t>
        </is>
      </c>
      <c r="J46" t="n">
        <v>3612</v>
      </c>
      <c r="K46" t="inlineStr">
        <is>
          <t>Active</t>
        </is>
      </c>
      <c r="L46" t="n">
        <v>1</v>
      </c>
      <c r="M46" t="n">
        <v>1</v>
      </c>
      <c r="N46" s="3" t="n">
        <v>0.44</v>
      </c>
      <c r="O46" s="3">
        <f>N46*L46</f>
        <v/>
      </c>
      <c r="Q46" t="inlineStr">
        <is>
          <t>https://ww1.microchip.com/downloads/en/DeviceDoc/MCP6001-1R-1U-2-4-1-MHz-Low-Power-Op-Amp-DS20001733L.pdf</t>
        </is>
      </c>
    </row>
    <row r="47">
      <c r="A47" t="inlineStr">
        <is>
          <t>1</t>
        </is>
      </c>
      <c r="B47" t="inlineStr">
        <is>
          <t>MCP6004-E/SL</t>
        </is>
      </c>
      <c r="C47" t="inlineStr">
        <is>
          <t>Microchip</t>
        </is>
      </c>
      <c r="D47" t="inlineStr">
        <is>
          <t>DIG_Card VM_U24</t>
        </is>
      </c>
      <c r="E47" t="inlineStr">
        <is>
          <t>MCP6004</t>
        </is>
      </c>
      <c r="F47" t="inlineStr">
        <is>
          <t>SOIC-14_3.9x8.7mm_P1.27mm</t>
        </is>
      </c>
      <c r="G47" t="inlineStr">
        <is>
          <t>Quad op-amp (VM buffers/references)</t>
        </is>
      </c>
      <c r="H47" t="inlineStr">
        <is>
          <t>MCP6004-E/SL-ND</t>
        </is>
      </c>
      <c r="I47" t="inlineStr">
        <is>
          <t>Microchip Technology</t>
        </is>
      </c>
      <c r="J47" t="n">
        <v>5593</v>
      </c>
      <c r="K47" t="inlineStr">
        <is>
          <t>Active</t>
        </is>
      </c>
      <c r="L47" t="n">
        <v>1</v>
      </c>
      <c r="M47" t="n">
        <v>57</v>
      </c>
      <c r="N47" s="3" t="n">
        <v>0.5</v>
      </c>
      <c r="O47" s="3">
        <f>N47*L47</f>
        <v/>
      </c>
      <c r="Q47" t="inlineStr">
        <is>
          <t>https://ww1.microchip.com/downloads/en/DeviceDoc/MCP6001-1R-1U-2-4-1-MHz-Low-Power-Op-Amp-DS20001733L.pdf</t>
        </is>
      </c>
    </row>
    <row r="48">
      <c r="A48" t="inlineStr">
        <is>
          <t>9</t>
        </is>
      </c>
      <c r="B48" t="inlineStr">
        <is>
          <t>MMBT3904-7-F</t>
        </is>
      </c>
      <c r="C48" t="inlineStr">
        <is>
          <t>Diodes Incorporated</t>
        </is>
      </c>
      <c r="D48" t="inlineStr">
        <is>
          <t>DIG_Card VM_Q11,VM_Q12,VM_Q13,VM_Q14,VM_Q15,VM_Q16,VM_Q17,VM_Q18,VM_Q19</t>
        </is>
      </c>
      <c r="E48" t="inlineStr">
        <is>
          <t>MMBT3904</t>
        </is>
      </c>
      <c r="F48" t="inlineStr">
        <is>
          <t>SOT-23</t>
        </is>
      </c>
      <c r="G48" t="inlineStr">
        <is>
          <t>NPN 40V (VM window/LED driver)</t>
        </is>
      </c>
      <c r="H48" t="inlineStr">
        <is>
          <t>MMBT3904-FDITR-ND</t>
        </is>
      </c>
      <c r="I48" t="inlineStr">
        <is>
          <t>Diodes Incorporated</t>
        </is>
      </c>
      <c r="J48" t="n">
        <v>68033</v>
      </c>
      <c r="K48" t="inlineStr">
        <is>
          <t>Active</t>
        </is>
      </c>
      <c r="L48" t="n">
        <v>9</v>
      </c>
      <c r="M48" t="n">
        <v>1</v>
      </c>
      <c r="N48" s="3" t="n">
        <v>0.16</v>
      </c>
      <c r="O48" s="3">
        <f>N48*L48</f>
        <v/>
      </c>
      <c r="Q48" t="inlineStr">
        <is>
          <t>https://www.diodes.com/assets/Datasheets/MMBT3904.pdf</t>
        </is>
      </c>
    </row>
    <row r="49">
      <c r="A49" t="inlineStr">
        <is>
          <t>2</t>
        </is>
      </c>
      <c r="B49" t="inlineStr">
        <is>
          <t>OPA192IDBVR</t>
        </is>
      </c>
      <c r="C49" t="inlineStr">
        <is>
          <t>Texas Instruments</t>
        </is>
      </c>
      <c r="D49" t="inlineStr">
        <is>
          <t>DIG_Card U301,U302</t>
        </is>
      </c>
      <c r="E49" t="inlineStr">
        <is>
          <t>OPA192IDBVR</t>
        </is>
      </c>
      <c r="F49" t="inlineStr">
        <is>
          <t>SOT-23-5</t>
        </is>
      </c>
      <c r="G49" t="inlineStr">
        <is>
          <t>Precision op-amp (MOD2 buffer)</t>
        </is>
      </c>
      <c r="H49" t="inlineStr">
        <is>
          <t>296-42105-2-ND</t>
        </is>
      </c>
      <c r="I49" t="inlineStr">
        <is>
          <t>Texas Instruments</t>
        </is>
      </c>
      <c r="J49" t="n">
        <v>22047</v>
      </c>
      <c r="K49" t="inlineStr">
        <is>
          <t>Active</t>
        </is>
      </c>
      <c r="L49" t="n">
        <v>2</v>
      </c>
      <c r="M49" t="n">
        <v>1</v>
      </c>
      <c r="N49" s="3" t="n">
        <v>3.83</v>
      </c>
      <c r="O49" s="3">
        <f>N49*L49</f>
        <v/>
      </c>
      <c r="Q49" t="inlineStr">
        <is>
          <t>https://www.ti.com/general/docs/suppproductinfo.tsp?distId=10&amp;gotoUrl=https%3A%2F%2Fwww.ti.com%2Flit%2Fgpn%2Fopa192</t>
        </is>
      </c>
    </row>
    <row r="50">
      <c r="A50" t="inlineStr">
        <is>
          <t>3</t>
        </is>
      </c>
      <c r="B50" t="inlineStr">
        <is>
          <t>ACX1234-ND</t>
        </is>
      </c>
      <c r="C50" t="inlineStr">
        <is>
          <t>(DigiKey PN)</t>
        </is>
      </c>
      <c r="D50" t="inlineStr">
        <is>
          <t>DIG_Card J2,J302,J302B1</t>
        </is>
      </c>
      <c r="E50" t="inlineStr">
        <is>
          <t>SMA</t>
        </is>
      </c>
      <c r="F50" t="inlineStr">
        <is>
          <t>SMA_BAT_Wireless_BWSMA-KWE-Z001</t>
        </is>
      </c>
      <c r="G50" t="inlineStr">
        <is>
          <t>SMA connector (DigiKey ACX1234-ND); fp BWSMA-KWE-Z001</t>
        </is>
      </c>
      <c r="H50" t="inlineStr">
        <is>
          <t>ACX1234-ND</t>
        </is>
      </c>
      <c r="I50" t="inlineStr">
        <is>
          <t>Amphenol RF</t>
        </is>
      </c>
      <c r="J50" t="n">
        <v>4945</v>
      </c>
      <c r="K50" t="inlineStr">
        <is>
          <t>Active</t>
        </is>
      </c>
      <c r="L50" t="n">
        <v>3</v>
      </c>
      <c r="M50" t="n">
        <v>1</v>
      </c>
      <c r="N50" s="3" t="n">
        <v>14.54</v>
      </c>
      <c r="O50" s="3">
        <f>N50*L50</f>
        <v/>
      </c>
      <c r="Q50" t="inlineStr">
        <is>
          <t>https://www.amphenolrf.com/en-us/assets/file/4065789559/</t>
        </is>
      </c>
    </row>
    <row r="51">
      <c r="A51" t="inlineStr">
        <is>
          <t>1</t>
        </is>
      </c>
      <c r="B51" t="inlineStr">
        <is>
          <t>SN74LVC1G3157DBVR</t>
        </is>
      </c>
      <c r="C51" t="inlineStr">
        <is>
          <t>Texas Instruments</t>
        </is>
      </c>
      <c r="D51" t="inlineStr">
        <is>
          <t>DIG_Card U41</t>
        </is>
      </c>
      <c r="E51" t="inlineStr">
        <is>
          <t>SN74LVC1G3157DBVR</t>
        </is>
      </c>
      <c r="F51" t="inlineStr">
        <is>
          <t>SOT-23-6_Handsoldering</t>
        </is>
      </c>
      <c r="G51" t="inlineStr">
        <is>
          <t>SPDT analog switch (clock int/ext mux)</t>
        </is>
      </c>
      <c r="H51" t="inlineStr">
        <is>
          <t>296-14908-2-ND</t>
        </is>
      </c>
      <c r="I51" t="inlineStr">
        <is>
          <t>Texas Instruments</t>
        </is>
      </c>
      <c r="J51" t="n">
        <v>42588</v>
      </c>
      <c r="K51" t="inlineStr">
        <is>
          <t>Active</t>
        </is>
      </c>
      <c r="L51" t="n">
        <v>1</v>
      </c>
      <c r="M51" t="n">
        <v>1</v>
      </c>
      <c r="N51" s="3" t="n">
        <v>0.25</v>
      </c>
      <c r="O51" s="3">
        <f>N51*L51</f>
        <v/>
      </c>
      <c r="Q51" t="inlineStr">
        <is>
          <t>https://www.ti.com/lit/ds/symlink/sn74lvc1g3157.pdf</t>
        </is>
      </c>
      <c r="R51" t="inlineStr">
        <is>
          <t>APPROX MATCH -&gt; SN74LVC1G3157DBVR (verify)</t>
        </is>
      </c>
    </row>
    <row r="52">
      <c r="A52" t="inlineStr">
        <is>
          <t>1</t>
        </is>
      </c>
      <c r="B52" t="inlineStr">
        <is>
          <t>Teensy 4.1</t>
        </is>
      </c>
      <c r="C52" t="inlineStr">
        <is>
          <t>PJRC</t>
        </is>
      </c>
      <c r="D52" t="inlineStr">
        <is>
          <t>DIG_Card A1</t>
        </is>
      </c>
      <c r="E52" t="inlineStr">
        <is>
          <t>TEENSY_4.1</t>
        </is>
      </c>
      <c r="F52" t="inlineStr">
        <is>
          <t>TEENSY_LONG_EXT</t>
        </is>
      </c>
      <c r="G52" t="inlineStr">
        <is>
          <t>Teensy 4.1 MCU module - ORDER DIRECT from pjrc.com (~$31.50; not DigiKey-stocked)</t>
        </is>
      </c>
      <c r="H52" t="inlineStr">
        <is>
          <t>PJRC direct</t>
        </is>
      </c>
      <c r="I52" t="inlineStr">
        <is>
          <t>PJRC</t>
        </is>
      </c>
      <c r="J52" t="inlineStr">
        <is>
          <t>n/a</t>
        </is>
      </c>
      <c r="K52" t="inlineStr">
        <is>
          <t>Active</t>
        </is>
      </c>
      <c r="L52" t="n">
        <v>1</v>
      </c>
      <c r="M52" t="inlineStr">
        <is>
          <t>1</t>
        </is>
      </c>
      <c r="N52" s="3" t="n">
        <v>31.5</v>
      </c>
      <c r="O52" s="3" t="n">
        <v>31.5</v>
      </c>
      <c r="P52" t="n">
        <v>1</v>
      </c>
      <c r="Q52" t="inlineStr">
        <is>
          <t>https://www.pjrc.com/store/teensy41.html</t>
        </is>
      </c>
      <c r="R52" t="inlineStr">
        <is>
          <t>Not DigiKey-stocked - order direct pjrc.com (SparkFun/Mouser also)</t>
        </is>
      </c>
    </row>
    <row r="53">
      <c r="N53" s="3" t="n"/>
      <c r="O53" s="3" t="n"/>
    </row>
    <row r="54">
      <c r="N54" s="4" t="inlineStr">
        <is>
          <t>TOTAL</t>
        </is>
      </c>
      <c r="O54" s="4">
        <f>SUM(O2:O52)</f>
        <v/>
      </c>
    </row>
    <row r="55">
      <c r="H55" s="5" t="inlineStr">
        <is>
          <t>Prices pulled 2026-07-25 10:53 (USD), 1 board(s)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2026-07-25T14:52:44Z</dcterms:created>
  <dcterms:modified xmlns:dcterms="http://purl.org/dc/terms/" xmlns:xsi="http://www.w3.org/2001/XMLSchema-instance" xsi:type="dcterms:W3CDTF">2026-07-25T14:54:00Z</dcterms:modified>
</cp:coreProperties>
</file>