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Key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28" customWidth="1" min="4" max="4"/>
    <col width="46" customWidth="1" min="5" max="5"/>
    <col width="18" customWidth="1" min="6" max="6"/>
    <col width="22" customWidth="1" min="7" max="7"/>
    <col width="12" customWidth="1" min="8" max="8"/>
    <col width="12" customWidth="1" min="9" max="9"/>
    <col width="10" customWidth="1" min="10" max="10"/>
    <col width="11" customWidth="1" min="11" max="11"/>
    <col width="12" customWidth="1" min="12" max="12"/>
    <col width="14" customWidth="1" min="13" max="13"/>
    <col width="8" customWidth="1" min="14" max="14"/>
    <col width="30" customWidth="1" min="15" max="15"/>
    <col width="26" customWidth="1" min="16" max="16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2" t="inlineStr">
        <is>
          <t>Customer Reference</t>
        </is>
      </c>
      <c r="E1" s="2" t="inlineStr">
        <is>
          <t>Description</t>
        </is>
      </c>
      <c r="F1" s="8" t="inlineStr">
        <is>
          <t>DigiKey P/N</t>
        </is>
      </c>
      <c r="G1" s="8" t="inlineStr">
        <is>
          <t>Found Mfr</t>
        </is>
      </c>
      <c r="H1" s="8" t="inlineStr">
        <is>
          <t>Stock</t>
        </is>
      </c>
      <c r="I1" s="8" t="inlineStr">
        <is>
          <t>Status</t>
        </is>
      </c>
      <c r="J1" s="8" t="inlineStr">
        <is>
          <t>Order Qty</t>
        </is>
      </c>
      <c r="K1" s="8" t="inlineStr">
        <is>
          <t>Price Break</t>
        </is>
      </c>
      <c r="L1" s="8" t="inlineStr">
        <is>
          <t>Unit Price</t>
        </is>
      </c>
      <c r="M1" s="8" t="inlineStr">
        <is>
          <t>Extended Price</t>
        </is>
      </c>
      <c r="N1" s="8" t="inlineStr">
        <is>
          <t>MOQ</t>
        </is>
      </c>
      <c r="O1" s="8" t="inlineStr">
        <is>
          <t>Datasheet</t>
        </is>
      </c>
      <c r="P1" s="8" t="inlineStr">
        <is>
          <t>Notes</t>
        </is>
      </c>
    </row>
    <row r="2">
      <c r="A2" t="n">
        <v>3</v>
      </c>
      <c r="B2" t="inlineStr">
        <is>
          <t>RC0805FR-071KL</t>
        </is>
      </c>
      <c r="C2" t="inlineStr">
        <is>
          <t>YAGEO</t>
        </is>
      </c>
      <c r="D2" s="3" t="inlineStr">
        <is>
          <t>R1,R38,R39</t>
        </is>
      </c>
      <c r="E2" s="3" t="inlineStr">
        <is>
          <t>1k 1% 0805</t>
        </is>
      </c>
      <c r="F2" t="inlineStr">
        <is>
          <t>311-1.00KCRTR-ND</t>
        </is>
      </c>
      <c r="G2" t="inlineStr">
        <is>
          <t>YAGEO</t>
        </is>
      </c>
      <c r="H2" t="n">
        <v>16555</v>
      </c>
      <c r="I2" t="inlineStr">
        <is>
          <t>Active</t>
        </is>
      </c>
      <c r="J2" t="n">
        <v>3</v>
      </c>
      <c r="K2" t="n">
        <v>1</v>
      </c>
      <c r="L2" s="9" t="n">
        <v>0.1</v>
      </c>
      <c r="M2" s="9">
        <f>L2*J2</f>
        <v/>
      </c>
      <c r="O2" t="inlineStr">
        <is>
          <t>https://yageogroup.com/content/datasheet/asset/file/PYU-RC_GROUP_51_ROHS_L</t>
        </is>
      </c>
    </row>
    <row r="3">
      <c r="A3" t="n">
        <v>4</v>
      </c>
      <c r="B3" t="inlineStr">
        <is>
          <t>RC0805FR-071ML</t>
        </is>
      </c>
      <c r="C3" t="inlineStr">
        <is>
          <t>YAGEO</t>
        </is>
      </c>
      <c r="D3" s="3" t="inlineStr">
        <is>
          <t>R4,R5,R22,R23</t>
        </is>
      </c>
      <c r="E3" s="3" t="inlineStr">
        <is>
          <t>1M 1% 0805</t>
        </is>
      </c>
      <c r="F3" t="inlineStr">
        <is>
          <t>311-1.00MCRTR-ND</t>
        </is>
      </c>
      <c r="G3" t="inlineStr">
        <is>
          <t>YAGEO</t>
        </is>
      </c>
      <c r="H3" t="n">
        <v>235782</v>
      </c>
      <c r="I3" t="inlineStr">
        <is>
          <t>Active</t>
        </is>
      </c>
      <c r="J3" t="n">
        <v>4</v>
      </c>
      <c r="K3" t="n">
        <v>1</v>
      </c>
      <c r="L3" s="9" t="n">
        <v>0.1</v>
      </c>
      <c r="M3" s="9">
        <f>L3*J3</f>
        <v/>
      </c>
      <c r="O3" t="inlineStr">
        <is>
          <t>https://yageogroup.com/content/datasheet/asset/file/PYU-RC_GROUP_51_ROHS_L</t>
        </is>
      </c>
    </row>
    <row r="4">
      <c r="A4" t="n">
        <v>4</v>
      </c>
      <c r="B4" t="inlineStr">
        <is>
          <t>RC0805FR-07100KL</t>
        </is>
      </c>
      <c r="C4" t="inlineStr">
        <is>
          <t>YAGEO</t>
        </is>
      </c>
      <c r="D4" s="3" t="inlineStr">
        <is>
          <t>R6,R7,R26,R27</t>
        </is>
      </c>
      <c r="E4" s="3" t="inlineStr">
        <is>
          <t>100k 1% 0805</t>
        </is>
      </c>
      <c r="F4" t="inlineStr">
        <is>
          <t>311-100KCRTR-ND</t>
        </is>
      </c>
      <c r="G4" t="inlineStr">
        <is>
          <t>YAGEO</t>
        </is>
      </c>
      <c r="H4" t="n">
        <v>573917</v>
      </c>
      <c r="I4" t="inlineStr">
        <is>
          <t>Active</t>
        </is>
      </c>
      <c r="J4" t="n">
        <v>4</v>
      </c>
      <c r="K4" t="n">
        <v>1</v>
      </c>
      <c r="L4" s="9" t="n">
        <v>0.1</v>
      </c>
      <c r="M4" s="9">
        <f>L4*J4</f>
        <v/>
      </c>
      <c r="O4" t="inlineStr">
        <is>
          <t>https://yageogroup.com/content/datasheet/asset/file/PYU-RC_GROUP_51_ROHS_L</t>
        </is>
      </c>
    </row>
    <row r="5">
      <c r="A5" t="n">
        <v>2</v>
      </c>
      <c r="B5" t="inlineStr">
        <is>
          <t>RC0805FR-0715KL</t>
        </is>
      </c>
      <c r="C5" t="inlineStr">
        <is>
          <t>YAGEO</t>
        </is>
      </c>
      <c r="D5" s="3" t="inlineStr">
        <is>
          <t>R24,R31</t>
        </is>
      </c>
      <c r="E5" s="3" t="inlineStr">
        <is>
          <t>15k 1% 0805</t>
        </is>
      </c>
      <c r="F5" t="inlineStr">
        <is>
          <t>311-15.0KCRTR-ND</t>
        </is>
      </c>
      <c r="G5" t="inlineStr">
        <is>
          <t>YAGEO</t>
        </is>
      </c>
      <c r="H5" t="n">
        <v>264941</v>
      </c>
      <c r="I5" t="inlineStr">
        <is>
          <t>Active</t>
        </is>
      </c>
      <c r="J5" t="n">
        <v>2</v>
      </c>
      <c r="K5" t="n">
        <v>1</v>
      </c>
      <c r="L5" s="9" t="n">
        <v>0.1</v>
      </c>
      <c r="M5" s="9">
        <f>L5*J5</f>
        <v/>
      </c>
      <c r="O5" t="inlineStr">
        <is>
          <t>https://yageogroup.com/content/datasheet/asset/file/PYU-RC_GROUP_51_ROHS_L</t>
        </is>
      </c>
    </row>
    <row r="6">
      <c r="A6" t="n">
        <v>2</v>
      </c>
      <c r="B6" t="inlineStr">
        <is>
          <t>RC0805FR-0760K4L</t>
        </is>
      </c>
      <c r="C6" t="inlineStr">
        <is>
          <t>YAGEO</t>
        </is>
      </c>
      <c r="D6" s="3" t="inlineStr">
        <is>
          <t>R25,R30</t>
        </is>
      </c>
      <c r="E6" s="3" t="inlineStr">
        <is>
          <t>60.4k 1% 0805</t>
        </is>
      </c>
      <c r="F6" t="inlineStr">
        <is>
          <t>311-60.4KCRTR-ND</t>
        </is>
      </c>
      <c r="G6" t="inlineStr">
        <is>
          <t>YAGEO</t>
        </is>
      </c>
      <c r="H6" t="n">
        <v>33467</v>
      </c>
      <c r="I6" t="inlineStr">
        <is>
          <t>Active</t>
        </is>
      </c>
      <c r="J6" t="n">
        <v>2</v>
      </c>
      <c r="K6" t="n">
        <v>1</v>
      </c>
      <c r="L6" s="9" t="n">
        <v>0.1</v>
      </c>
      <c r="M6" s="9">
        <f>L6*J6</f>
        <v/>
      </c>
      <c r="O6" t="inlineStr">
        <is>
          <t>https://yageogroup.com/content/datasheet/asset/file/PYU-RC_GROUP_51_ROHS_L</t>
        </is>
      </c>
      <c r="P6" t="inlineStr">
        <is>
          <t>APPROX MATCH -&gt; RC0805FR-0760K4L (verify)</t>
        </is>
      </c>
    </row>
    <row r="7">
      <c r="A7" t="n">
        <v>2</v>
      </c>
      <c r="B7" t="inlineStr">
        <is>
          <t>RC0805FR-071K5L</t>
        </is>
      </c>
      <c r="C7" t="inlineStr">
        <is>
          <t>YAGEO</t>
        </is>
      </c>
      <c r="D7" s="3" t="inlineStr">
        <is>
          <t>R28,R29</t>
        </is>
      </c>
      <c r="E7" s="3" t="inlineStr">
        <is>
          <t>1.5k bias 1% 0805</t>
        </is>
      </c>
      <c r="F7" t="inlineStr">
        <is>
          <t>311-1.50KCRTR-ND</t>
        </is>
      </c>
      <c r="G7" t="inlineStr">
        <is>
          <t>YAGEO</t>
        </is>
      </c>
      <c r="H7" t="n">
        <v>350350</v>
      </c>
      <c r="I7" t="inlineStr">
        <is>
          <t>Active</t>
        </is>
      </c>
      <c r="J7" t="n">
        <v>2</v>
      </c>
      <c r="K7" t="n">
        <v>1</v>
      </c>
      <c r="L7" s="9" t="n">
        <v>0.1</v>
      </c>
      <c r="M7" s="9">
        <f>L7*J7</f>
        <v/>
      </c>
      <c r="O7" t="inlineStr">
        <is>
          <t>https://yageogroup.com/content/datasheet/asset/file/PYU-RC_GROUP_51_ROHS_L</t>
        </is>
      </c>
    </row>
    <row r="8">
      <c r="A8" t="n">
        <v>4</v>
      </c>
      <c r="B8" t="inlineStr">
        <is>
          <t>TUW15J15RE</t>
        </is>
      </c>
      <c r="C8" t="inlineStr">
        <is>
          <t>Ohmite</t>
        </is>
      </c>
      <c r="D8" s="3" t="inlineStr">
        <is>
          <t>R2,R3,R20,R21</t>
        </is>
      </c>
      <c r="E8" s="3" t="inlineStr">
        <is>
          <t>15 ohm 15W axial WW</t>
        </is>
      </c>
      <c r="F8" t="inlineStr">
        <is>
          <t>TUW15J15RE-ND</t>
        </is>
      </c>
      <c r="G8" t="inlineStr">
        <is>
          <t>Ohmite</t>
        </is>
      </c>
      <c r="H8" t="n">
        <v>3814</v>
      </c>
      <c r="I8" t="inlineStr">
        <is>
          <t>Active</t>
        </is>
      </c>
      <c r="J8" t="n">
        <v>4</v>
      </c>
      <c r="K8" t="n">
        <v>1</v>
      </c>
      <c r="L8" s="9" t="n">
        <v>2.07</v>
      </c>
      <c r="M8" s="9">
        <f>L8*J8</f>
        <v/>
      </c>
      <c r="O8" t="inlineStr">
        <is>
          <t>https://www.ohmite.com/assets/images/res-tuw-tum.pdf</t>
        </is>
      </c>
    </row>
    <row r="9">
      <c r="A9" t="n">
        <v>2</v>
      </c>
      <c r="B9" t="inlineStr">
        <is>
          <t>RCL12254R75FKEG</t>
        </is>
      </c>
      <c r="C9" t="inlineStr">
        <is>
          <t>Vishay</t>
        </is>
      </c>
      <c r="D9" s="3" t="inlineStr">
        <is>
          <t>R8,R9</t>
        </is>
      </c>
      <c r="E9" s="3" t="inlineStr">
        <is>
          <t>4.75 ohm 2W 2512 | +/-22V output series</t>
        </is>
      </c>
      <c r="F9" t="inlineStr">
        <is>
          <t>541-2464-2-ND</t>
        </is>
      </c>
      <c r="G9" t="inlineStr">
        <is>
          <t>Vishay Dale</t>
        </is>
      </c>
      <c r="H9" t="n">
        <v>1900</v>
      </c>
      <c r="I9" t="inlineStr">
        <is>
          <t>Active</t>
        </is>
      </c>
      <c r="J9" t="n">
        <v>2</v>
      </c>
      <c r="K9" t="n">
        <v>1</v>
      </c>
      <c r="L9" s="9" t="n">
        <v>1.12</v>
      </c>
      <c r="M9" s="9">
        <f>L9*J9</f>
        <v/>
      </c>
      <c r="O9" t="inlineStr">
        <is>
          <t>https://www.vishay.com/docs/20046/rcle3.pdf</t>
        </is>
      </c>
    </row>
    <row r="10">
      <c r="A10" t="n">
        <v>4</v>
      </c>
      <c r="B10" t="inlineStr">
        <is>
          <t>WSL2512R1000FEA</t>
        </is>
      </c>
      <c r="C10" t="inlineStr">
        <is>
          <t>Vishay</t>
        </is>
      </c>
      <c r="D10" s="3" t="inlineStr">
        <is>
          <t>R34,R35,R36,R37</t>
        </is>
      </c>
      <c r="E10" s="3" t="inlineStr">
        <is>
          <t>0.1 ohm 1W 2512 sense/ballast</t>
        </is>
      </c>
      <c r="F10" t="inlineStr">
        <is>
          <t>WSLG-.10TR-ND</t>
        </is>
      </c>
      <c r="G10" t="inlineStr">
        <is>
          <t>Vishay Dale</t>
        </is>
      </c>
      <c r="H10" t="n">
        <v>136935</v>
      </c>
      <c r="I10" t="inlineStr">
        <is>
          <t>Active</t>
        </is>
      </c>
      <c r="J10" t="n">
        <v>4</v>
      </c>
      <c r="K10" t="n">
        <v>1</v>
      </c>
      <c r="L10" s="9" t="n">
        <v>0.66</v>
      </c>
      <c r="M10" s="9">
        <f>L10*J10</f>
        <v/>
      </c>
      <c r="O10" t="inlineStr">
        <is>
          <t>https://www.vishay.com/docs/30100/wsl.pdf</t>
        </is>
      </c>
    </row>
    <row r="11">
      <c r="A11" t="n">
        <v>4</v>
      </c>
      <c r="B11" t="inlineStr">
        <is>
          <t>C0805C474K5RECTU</t>
        </is>
      </c>
      <c r="C11" t="inlineStr">
        <is>
          <t>KEMET</t>
        </is>
      </c>
      <c r="D11" s="3" t="inlineStr">
        <is>
          <t>C1,C2,C42,C43</t>
        </is>
      </c>
      <c r="E11" s="3" t="inlineStr">
        <is>
          <t>470nF 50V X7R 0805</t>
        </is>
      </c>
      <c r="F11" t="inlineStr">
        <is>
          <t>399-C0805C474K5RECTUTR-ND</t>
        </is>
      </c>
      <c r="G11" t="inlineStr">
        <is>
          <t>KEMET</t>
        </is>
      </c>
      <c r="H11" t="n">
        <v>27595</v>
      </c>
      <c r="I11" t="inlineStr">
        <is>
          <t>Active</t>
        </is>
      </c>
      <c r="J11" t="n">
        <v>4</v>
      </c>
      <c r="K11" t="n">
        <v>1</v>
      </c>
      <c r="L11" s="9" t="n">
        <v>0.22</v>
      </c>
      <c r="M11" s="9">
        <f>L11*J11</f>
        <v/>
      </c>
      <c r="O11" t="inlineStr">
        <is>
          <t>https://yageogroup.com/content/datasheet/asset/file/KEM_C1090_X7R_ESD</t>
        </is>
      </c>
    </row>
    <row r="12">
      <c r="A12" t="n">
        <v>6</v>
      </c>
      <c r="B12" t="inlineStr">
        <is>
          <t>CL21B225KBYNNWE</t>
        </is>
      </c>
      <c r="C12" t="inlineStr">
        <is>
          <t>Samsung</t>
        </is>
      </c>
      <c r="D12" s="3" t="inlineStr">
        <is>
          <t>C7,C8,C44,C45,C52,C53</t>
        </is>
      </c>
      <c r="E12" s="3" t="inlineStr">
        <is>
          <t>2.2uF 50V X7R 0805</t>
        </is>
      </c>
      <c r="F12" t="inlineStr">
        <is>
          <t>1276-CL21B225KBYNNWETR-ND</t>
        </is>
      </c>
      <c r="G12" t="inlineStr">
        <is>
          <t>Samsung Electro-Mechanics</t>
        </is>
      </c>
      <c r="H12" t="n">
        <v>85700</v>
      </c>
      <c r="I12" t="inlineStr">
        <is>
          <t>Active</t>
        </is>
      </c>
      <c r="J12" t="n">
        <v>6</v>
      </c>
      <c r="K12" t="n">
        <v>1</v>
      </c>
      <c r="L12" s="9" t="n">
        <v>0.24</v>
      </c>
      <c r="M12" s="9">
        <f>L12*J12</f>
        <v/>
      </c>
      <c r="O12" t="inlineStr">
        <is>
          <t>https://weblib.samsungsem.com/mlcc/mlcc-ec-data-sheet.do?partNumber=CL21B225KBYNNW</t>
        </is>
      </c>
    </row>
    <row r="13">
      <c r="A13" t="n">
        <v>2</v>
      </c>
      <c r="B13" t="inlineStr">
        <is>
          <t>UPW1H222MHD</t>
        </is>
      </c>
      <c r="C13" t="inlineStr">
        <is>
          <t>Nichicon</t>
        </is>
      </c>
      <c r="D13" s="3" t="inlineStr">
        <is>
          <t>C3,C4</t>
        </is>
      </c>
      <c r="E13" s="3" t="inlineStr">
        <is>
          <t>2200uF 50V radial</t>
        </is>
      </c>
      <c r="F13" t="inlineStr">
        <is>
          <t>493-1923-ND</t>
        </is>
      </c>
      <c r="G13" t="inlineStr">
        <is>
          <t>Nichicon</t>
        </is>
      </c>
      <c r="H13" t="n">
        <v>3088</v>
      </c>
      <c r="I13" t="inlineStr">
        <is>
          <t>Not For New Designs</t>
        </is>
      </c>
      <c r="J13" t="n">
        <v>2</v>
      </c>
      <c r="K13" t="n">
        <v>1</v>
      </c>
      <c r="L13" s="9" t="n">
        <v>3.13</v>
      </c>
      <c r="M13" s="9">
        <f>L13*J13</f>
        <v/>
      </c>
      <c r="O13" t="inlineStr">
        <is>
          <t>https://www.nichicon.co.jp/english/series_items/catalog_pdf/e-upw.pdf</t>
        </is>
      </c>
      <c r="P13" t="inlineStr">
        <is>
          <t>NOT FOR NEW DESIGNS</t>
        </is>
      </c>
    </row>
    <row r="14">
      <c r="A14" t="n">
        <v>2</v>
      </c>
      <c r="B14" t="inlineStr">
        <is>
          <t>UPW1H102MHD</t>
        </is>
      </c>
      <c r="C14" t="inlineStr">
        <is>
          <t>Nichicon</t>
        </is>
      </c>
      <c r="D14" s="3" t="inlineStr">
        <is>
          <t>C5,C6</t>
        </is>
      </c>
      <c r="E14" s="3" t="inlineStr">
        <is>
          <t>1000uF 50V radial</t>
        </is>
      </c>
      <c r="F14" t="inlineStr">
        <is>
          <t>493-1917-ND</t>
        </is>
      </c>
      <c r="G14" t="inlineStr">
        <is>
          <t>Nichicon</t>
        </is>
      </c>
      <c r="H14" t="n">
        <v>6921</v>
      </c>
      <c r="I14" t="inlineStr">
        <is>
          <t>Not For New Designs</t>
        </is>
      </c>
      <c r="J14" t="n">
        <v>2</v>
      </c>
      <c r="K14" t="n">
        <v>1</v>
      </c>
      <c r="L14" s="9" t="n">
        <v>1.88</v>
      </c>
      <c r="M14" s="9">
        <f>L14*J14</f>
        <v/>
      </c>
      <c r="O14" t="inlineStr">
        <is>
          <t>https://www.nichicon.co.jp/english/series_items/catalog_pdf/e-upw.pdf</t>
        </is>
      </c>
      <c r="P14" t="inlineStr">
        <is>
          <t>NOT FOR NEW DESIGNS</t>
        </is>
      </c>
    </row>
    <row r="15">
      <c r="A15" t="n">
        <v>6</v>
      </c>
      <c r="B15" t="inlineStr">
        <is>
          <t>UPW1E332MHD</t>
        </is>
      </c>
      <c r="C15" t="inlineStr">
        <is>
          <t>Nichicon</t>
        </is>
      </c>
      <c r="D15" s="3" t="inlineStr">
        <is>
          <t>C34,C35,C36,C37,C38,C39</t>
        </is>
      </c>
      <c r="E15" s="3" t="inlineStr">
        <is>
          <t>3300uF 25V radial (TEC reservoir)</t>
        </is>
      </c>
      <c r="F15" t="inlineStr">
        <is>
          <t>493-1841-ND</t>
        </is>
      </c>
      <c r="G15" t="inlineStr">
        <is>
          <t>Nichicon</t>
        </is>
      </c>
      <c r="H15" t="n">
        <v>598</v>
      </c>
      <c r="I15" t="inlineStr">
        <is>
          <t>Not For New Designs</t>
        </is>
      </c>
      <c r="J15" t="n">
        <v>6</v>
      </c>
      <c r="K15" t="n">
        <v>1</v>
      </c>
      <c r="L15" s="9" t="n">
        <v>2.64</v>
      </c>
      <c r="M15" s="9">
        <f>L15*J15</f>
        <v/>
      </c>
      <c r="O15" t="inlineStr">
        <is>
          <t>https://www.nichicon.co.jp/english/series_items/catalog_pdf/e-upw.pdf</t>
        </is>
      </c>
      <c r="P15" t="inlineStr">
        <is>
          <t>NOT FOR NEW DESIGNS</t>
        </is>
      </c>
    </row>
    <row r="16">
      <c r="A16" t="n">
        <v>6</v>
      </c>
      <c r="B16" t="inlineStr">
        <is>
          <t>UPW1E102MHD</t>
        </is>
      </c>
      <c r="C16" t="inlineStr">
        <is>
          <t>Nichicon</t>
        </is>
      </c>
      <c r="D16" s="3" t="inlineStr">
        <is>
          <t>C40,C41,C48,C49,C50,C51</t>
        </is>
      </c>
      <c r="E16" s="3" t="inlineStr">
        <is>
          <t>1000uF 25V radial</t>
        </is>
      </c>
      <c r="F16" t="inlineStr">
        <is>
          <t>493-1831-ND</t>
        </is>
      </c>
      <c r="G16" t="inlineStr">
        <is>
          <t>Nichicon</t>
        </is>
      </c>
      <c r="H16" t="n">
        <v>5276</v>
      </c>
      <c r="I16" t="inlineStr">
        <is>
          <t>Not For New Designs</t>
        </is>
      </c>
      <c r="J16" t="n">
        <v>6</v>
      </c>
      <c r="K16" t="n">
        <v>1</v>
      </c>
      <c r="L16" s="9" t="n">
        <v>1.01</v>
      </c>
      <c r="M16" s="9">
        <f>L16*J16</f>
        <v/>
      </c>
      <c r="O16" t="inlineStr">
        <is>
          <t>https://www.nichicon.co.jp/english/series_items/catalog_pdf/e-upw.pdf</t>
        </is>
      </c>
      <c r="P16" t="inlineStr">
        <is>
          <t>NOT FOR NEW DESIGNS</t>
        </is>
      </c>
    </row>
    <row r="17">
      <c r="A17" t="n">
        <v>2</v>
      </c>
      <c r="B17" t="inlineStr">
        <is>
          <t>UPW1V222MHD</t>
        </is>
      </c>
      <c r="C17" t="inlineStr">
        <is>
          <t>Nichicon</t>
        </is>
      </c>
      <c r="D17" s="3" t="inlineStr">
        <is>
          <t>C46,C47</t>
        </is>
      </c>
      <c r="E17" s="3" t="inlineStr">
        <is>
          <t>2200uF 35V radial</t>
        </is>
      </c>
      <c r="F17" t="inlineStr">
        <is>
          <t>493-1879-ND</t>
        </is>
      </c>
      <c r="G17" t="inlineStr">
        <is>
          <t>Nichicon</t>
        </is>
      </c>
      <c r="H17" t="n">
        <v>2678</v>
      </c>
      <c r="I17" t="inlineStr">
        <is>
          <t>Not For New Designs</t>
        </is>
      </c>
      <c r="J17" t="n">
        <v>2</v>
      </c>
      <c r="K17" t="n">
        <v>1</v>
      </c>
      <c r="L17" s="9" t="n">
        <v>2.5</v>
      </c>
      <c r="M17" s="9">
        <f>L17*J17</f>
        <v/>
      </c>
      <c r="O17" t="inlineStr">
        <is>
          <t>https://www.nichicon.co.jp/english/series_items/catalog_pdf/e-upw.pdf</t>
        </is>
      </c>
      <c r="P17" t="inlineStr">
        <is>
          <t>NOT FOR NEW DESIGNS</t>
        </is>
      </c>
    </row>
    <row r="18">
      <c r="A18" t="n">
        <v>1</v>
      </c>
      <c r="B18" t="inlineStr">
        <is>
          <t>GBU4M</t>
        </is>
      </c>
      <c r="C18" t="inlineStr">
        <is>
          <t>Vishay</t>
        </is>
      </c>
      <c r="D18" s="3" t="inlineStr">
        <is>
          <t>D1</t>
        </is>
      </c>
      <c r="E18" s="3" t="inlineStr">
        <is>
          <t>bridge 4A 1000V (22V rail)</t>
        </is>
      </c>
      <c r="F18" t="inlineStr">
        <is>
          <t>GBU4M-BPMS-ND</t>
        </is>
      </c>
      <c r="G18" t="inlineStr">
        <is>
          <t>MCC (Micro Commercial Components)</t>
        </is>
      </c>
      <c r="H18" t="n">
        <v>30129</v>
      </c>
      <c r="I18" t="inlineStr">
        <is>
          <t>Active</t>
        </is>
      </c>
      <c r="J18" t="n">
        <v>1</v>
      </c>
      <c r="K18" t="n">
        <v>1</v>
      </c>
      <c r="L18" s="9" t="n">
        <v>1.25</v>
      </c>
      <c r="M18" s="9">
        <f>L18*J18</f>
        <v/>
      </c>
      <c r="O18" t="inlineStr">
        <is>
          <t>https://www.mccsemi.com/pdf/Products/GBU4A-GBU4M(GBU).pdf</t>
        </is>
      </c>
      <c r="P18" t="inlineStr">
        <is>
          <t>APPROX MATCH -&gt; GBU4M-BP (verify)</t>
        </is>
      </c>
    </row>
    <row r="19">
      <c r="A19" t="n">
        <v>1</v>
      </c>
      <c r="B19" t="inlineStr">
        <is>
          <t>GBU1506</t>
        </is>
      </c>
      <c r="C19" t="inlineStr">
        <is>
          <t>Vishay</t>
        </is>
      </c>
      <c r="D19" s="3" t="inlineStr">
        <is>
          <t>D7</t>
        </is>
      </c>
      <c r="E19" s="3" t="inlineStr">
        <is>
          <t>bridge 15A 600V (TEC)</t>
        </is>
      </c>
      <c r="F19" t="inlineStr">
        <is>
          <t>1655-GBU1506-ND</t>
        </is>
      </c>
      <c r="G19" t="inlineStr">
        <is>
          <t>SMC Diode Solutions</t>
        </is>
      </c>
      <c r="H19" t="n">
        <v>675</v>
      </c>
      <c r="I19" t="inlineStr">
        <is>
          <t>Active</t>
        </is>
      </c>
      <c r="J19" t="n">
        <v>1</v>
      </c>
      <c r="K19" t="n">
        <v>1</v>
      </c>
      <c r="L19" s="9" t="n">
        <v>1.69</v>
      </c>
      <c r="M19" s="9">
        <f>L19*J19</f>
        <v/>
      </c>
      <c r="O19" t="inlineStr">
        <is>
          <t>https://www.smc-diodes.com/propdf/GBU15005-GBU1510%20N1802%20REV.A.pdf</t>
        </is>
      </c>
      <c r="P19" t="inlineStr">
        <is>
          <t>APPROX MATCH -&gt; GBU1506 (verify)</t>
        </is>
      </c>
    </row>
    <row r="20">
      <c r="A20" t="n">
        <v>4</v>
      </c>
      <c r="B20" t="inlineStr">
        <is>
          <t>1N4742A</t>
        </is>
      </c>
      <c r="C20" t="inlineStr">
        <is>
          <t>onsemi</t>
        </is>
      </c>
      <c r="D20" s="3" t="inlineStr">
        <is>
          <t>D2,D3,D8,D9</t>
        </is>
      </c>
      <c r="E20" s="3" t="inlineStr">
        <is>
          <t>12V 1W zener DO-41</t>
        </is>
      </c>
      <c r="F20" t="inlineStr">
        <is>
          <t>1N4742AFS-ND</t>
        </is>
      </c>
      <c r="G20" t="inlineStr">
        <is>
          <t>onsemi</t>
        </is>
      </c>
      <c r="H20" t="n">
        <v>40222</v>
      </c>
      <c r="I20" t="inlineStr">
        <is>
          <t>Active</t>
        </is>
      </c>
      <c r="J20" t="n">
        <v>4</v>
      </c>
      <c r="K20" t="n">
        <v>1</v>
      </c>
      <c r="L20" s="9" t="n">
        <v>0.26</v>
      </c>
      <c r="M20" s="9">
        <f>L20*J20</f>
        <v/>
      </c>
      <c r="O20" t="inlineStr">
        <is>
          <t>https://www.onsemi.com/pdf/datasheet/1n4736at-d.pdf</t>
        </is>
      </c>
      <c r="P20" t="inlineStr">
        <is>
          <t>APPROX MATCH -&gt; 1N4742A (verify)</t>
        </is>
      </c>
    </row>
    <row r="21">
      <c r="A21" t="n">
        <v>4</v>
      </c>
      <c r="B21" t="inlineStr">
        <is>
          <t>1N4148WH RHG</t>
        </is>
      </c>
      <c r="C21" t="inlineStr">
        <is>
          <t>Diodes/Comchip</t>
        </is>
      </c>
      <c r="D21" s="3" t="inlineStr">
        <is>
          <t>D10,D11,D_CP1,D_CP2</t>
        </is>
      </c>
      <c r="E21" s="3" t="inlineStr">
        <is>
          <t>switch diode SOD-123 (active,in-stock)</t>
        </is>
      </c>
      <c r="F21" t="inlineStr">
        <is>
          <t>1801-1N4148WHRHGTR-ND</t>
        </is>
      </c>
      <c r="G21" t="inlineStr">
        <is>
          <t>Taiwan Semiconductor Corporation</t>
        </is>
      </c>
      <c r="H21" t="n">
        <v>1016</v>
      </c>
      <c r="I21" t="inlineStr">
        <is>
          <t>Active</t>
        </is>
      </c>
      <c r="J21" t="n">
        <v>4</v>
      </c>
      <c r="K21" t="n">
        <v>1</v>
      </c>
      <c r="L21" s="9" t="n">
        <v>0.2</v>
      </c>
      <c r="M21" s="9">
        <f>L21*J21</f>
        <v/>
      </c>
      <c r="O21" t="inlineStr">
        <is>
          <t>https://www.taiwansemi.com/assets/datasheet/pdf.php?pn=1N4148WH</t>
        </is>
      </c>
    </row>
    <row r="22">
      <c r="A22" t="n">
        <v>5</v>
      </c>
      <c r="B22" t="inlineStr">
        <is>
          <t>1757255</t>
        </is>
      </c>
      <c r="C22" t="inlineStr">
        <is>
          <t>Phoenix Contact</t>
        </is>
      </c>
      <c r="D22" s="3" t="inlineStr">
        <is>
          <t>J1,J2,J3,J4,J5</t>
        </is>
      </c>
      <c r="E22" s="3" t="inlineStr">
        <is>
          <t>term block header 3pos 5.08 (MSTBA)</t>
        </is>
      </c>
      <c r="F22" t="inlineStr">
        <is>
          <t>277-1107-ND</t>
        </is>
      </c>
      <c r="G22" t="inlineStr">
        <is>
          <t>Phoenix Contact</t>
        </is>
      </c>
      <c r="H22" t="n">
        <v>11758</v>
      </c>
      <c r="I22" t="inlineStr">
        <is>
          <t>Active</t>
        </is>
      </c>
      <c r="J22" t="n">
        <v>5</v>
      </c>
      <c r="K22" t="n">
        <v>1</v>
      </c>
      <c r="L22" s="9" t="n">
        <v>0.9</v>
      </c>
      <c r="M22" s="9">
        <f>L22*J22</f>
        <v/>
      </c>
      <c r="O22" t="inlineStr">
        <is>
          <t>https://www.phoenixcontact.com/us/products/1757255/pdf</t>
        </is>
      </c>
    </row>
    <row r="23">
      <c r="A23" t="n">
        <v>1</v>
      </c>
      <c r="B23" t="inlineStr">
        <is>
          <t>374144-E</t>
        </is>
      </c>
      <c r="C23" t="inlineStr">
        <is>
          <t>TE/ERNI</t>
        </is>
      </c>
      <c r="D23" s="3" t="inlineStr">
        <is>
          <t>J6</t>
        </is>
      </c>
      <c r="E23" s="3" t="inlineStr">
        <is>
          <t>DIN41612 type M 24+8, RA male</t>
        </is>
      </c>
      <c r="F23" t="inlineStr">
        <is>
          <t>2684-374144-E-ND</t>
        </is>
      </c>
      <c r="G23" t="inlineStr">
        <is>
          <t>TE Connectivity Erni</t>
        </is>
      </c>
      <c r="H23" t="n">
        <v>362</v>
      </c>
      <c r="I23" t="inlineStr">
        <is>
          <t>Active</t>
        </is>
      </c>
      <c r="J23" t="n">
        <v>1</v>
      </c>
      <c r="K23" t="n">
        <v>1</v>
      </c>
      <c r="L23" s="9" t="n">
        <v>10.31</v>
      </c>
      <c r="M23" s="9">
        <f>L23*J23</f>
        <v/>
      </c>
      <c r="O23" t="inlineStr">
        <is>
          <t>https://www.erni.com/fileadmin/import/products/assets/DC0006731.PDF</t>
        </is>
      </c>
    </row>
    <row r="24">
      <c r="A24" t="n">
        <v>2</v>
      </c>
      <c r="B24" t="inlineStr">
        <is>
          <t>IRF540NPBF</t>
        </is>
      </c>
      <c r="C24" t="inlineStr">
        <is>
          <t>Infineon</t>
        </is>
      </c>
      <c r="D24" s="3" t="inlineStr">
        <is>
          <t>Q1,Q3</t>
        </is>
      </c>
      <c r="E24" s="3" t="inlineStr">
        <is>
          <t>N-MOSFET 100V 33A TO-220</t>
        </is>
      </c>
      <c r="F24" t="inlineStr">
        <is>
          <t>IRF540NPBF-ND</t>
        </is>
      </c>
      <c r="G24" t="inlineStr">
        <is>
          <t>Infineon Technologies</t>
        </is>
      </c>
      <c r="H24" t="n">
        <v>1114</v>
      </c>
      <c r="I24" t="inlineStr">
        <is>
          <t>Active</t>
        </is>
      </c>
      <c r="J24" t="n">
        <v>2</v>
      </c>
      <c r="K24" t="n">
        <v>1</v>
      </c>
      <c r="L24" s="9" t="n">
        <v>2.26</v>
      </c>
      <c r="M24" s="9">
        <f>L24*J24</f>
        <v/>
      </c>
      <c r="O24" t="inlineStr">
        <is>
          <t>https://www.infineon.com/assets/row/public/documents/24/49/infineon-irf540n-datasheet-en.pdf</t>
        </is>
      </c>
    </row>
    <row r="25">
      <c r="A25" t="n">
        <v>2</v>
      </c>
      <c r="B25" t="inlineStr">
        <is>
          <t>IRF9540NPBF</t>
        </is>
      </c>
      <c r="C25" t="inlineStr">
        <is>
          <t>Infineon</t>
        </is>
      </c>
      <c r="D25" s="3" t="inlineStr">
        <is>
          <t>Q2,Q4</t>
        </is>
      </c>
      <c r="E25" s="3" t="inlineStr">
        <is>
          <t>P-MOSFET -100V 23A TO-220</t>
        </is>
      </c>
      <c r="F25" t="inlineStr">
        <is>
          <t>IRF9540NPBF-ND</t>
        </is>
      </c>
      <c r="G25" t="inlineStr">
        <is>
          <t>Infineon Technologies</t>
        </is>
      </c>
      <c r="H25" t="n">
        <v>12262</v>
      </c>
      <c r="I25" t="inlineStr">
        <is>
          <t>Active</t>
        </is>
      </c>
      <c r="J25" t="n">
        <v>2</v>
      </c>
      <c r="K25" t="n">
        <v>1</v>
      </c>
      <c r="L25" s="9" t="n">
        <v>3.4</v>
      </c>
      <c r="M25" s="9">
        <f>L25*J25</f>
        <v/>
      </c>
      <c r="O25" t="inlineStr">
        <is>
          <t>https://www.infineon.com/assets/row/public/documents/24/49/infineon-irf9540n-datasheet-en.pdf</t>
        </is>
      </c>
    </row>
    <row r="26">
      <c r="A26" t="n">
        <v>1</v>
      </c>
      <c r="B26" t="inlineStr">
        <is>
          <t>MMBT2907A-TP</t>
        </is>
      </c>
      <c r="C26" t="inlineStr">
        <is>
          <t>Micro Commercial</t>
        </is>
      </c>
      <c r="D26" s="3" t="inlineStr">
        <is>
          <t>Q5</t>
        </is>
      </c>
      <c r="E26" s="3" t="inlineStr">
        <is>
          <t>PNP 60V SOT-23 (active,in-stock)</t>
        </is>
      </c>
      <c r="F26" t="inlineStr">
        <is>
          <t>MMBT2907A-TPMSTR-ND</t>
        </is>
      </c>
      <c r="G26" t="inlineStr">
        <is>
          <t>MCC (Micro Commercial Components)</t>
        </is>
      </c>
      <c r="H26" t="n">
        <v>114929</v>
      </c>
      <c r="I26" t="inlineStr">
        <is>
          <t>Active</t>
        </is>
      </c>
      <c r="J26" t="n">
        <v>1</v>
      </c>
      <c r="K26" t="n">
        <v>1</v>
      </c>
      <c r="L26" s="9" t="n">
        <v>0.12</v>
      </c>
      <c r="M26" s="9">
        <f>L26*J26</f>
        <v/>
      </c>
      <c r="O26" t="inlineStr">
        <is>
          <t>https://www.mccsemi.com/pdf/Products/MMBT2907A(SOT-23).pdf</t>
        </is>
      </c>
    </row>
    <row r="27">
      <c r="A27" t="n">
        <v>1</v>
      </c>
      <c r="B27" t="inlineStr">
        <is>
          <t>MMBT2222ALT1G</t>
        </is>
      </c>
      <c r="C27" t="inlineStr">
        <is>
          <t>onsemi</t>
        </is>
      </c>
      <c r="D27" s="3" t="inlineStr">
        <is>
          <t>Q6</t>
        </is>
      </c>
      <c r="E27" s="3" t="inlineStr">
        <is>
          <t>NPN SOT-23</t>
        </is>
      </c>
      <c r="F27" t="inlineStr">
        <is>
          <t>MMBT2222ALT1GOSTR-ND</t>
        </is>
      </c>
      <c r="G27" t="inlineStr">
        <is>
          <t>onsemi</t>
        </is>
      </c>
      <c r="H27" t="n">
        <v>145894</v>
      </c>
      <c r="I27" t="inlineStr">
        <is>
          <t>Active</t>
        </is>
      </c>
      <c r="J27" t="n">
        <v>1</v>
      </c>
      <c r="K27" t="n">
        <v>1</v>
      </c>
      <c r="L27" s="9" t="n">
        <v>0.15</v>
      </c>
      <c r="M27" s="9">
        <f>L27*J27</f>
        <v/>
      </c>
      <c r="O27" t="inlineStr">
        <is>
          <t>https://www.onsemi.com/pdf/datasheet/mmbt2222lt1-d.pdf</t>
        </is>
      </c>
    </row>
    <row r="28">
      <c r="A28" t="n">
        <v>2</v>
      </c>
      <c r="B28" t="inlineStr">
        <is>
          <t>MJL21193G</t>
        </is>
      </c>
      <c r="C28" t="inlineStr">
        <is>
          <t>onsemi</t>
        </is>
      </c>
      <c r="D28" s="3" t="inlineStr">
        <is>
          <t>Q7,Q8</t>
        </is>
      </c>
      <c r="E28" s="3" t="inlineStr">
        <is>
          <t>PNP 250V 16A TO-264 (-6V pass)</t>
        </is>
      </c>
      <c r="F28" t="inlineStr">
        <is>
          <t>MJL21193GOS-ND</t>
        </is>
      </c>
      <c r="G28" t="inlineStr">
        <is>
          <t>onsemi</t>
        </is>
      </c>
      <c r="H28" t="n">
        <v>2013</v>
      </c>
      <c r="I28" t="inlineStr">
        <is>
          <t>Active</t>
        </is>
      </c>
      <c r="J28" t="n">
        <v>2</v>
      </c>
      <c r="K28" t="n">
        <v>1</v>
      </c>
      <c r="L28" s="9" t="n">
        <v>7.03</v>
      </c>
      <c r="M28" s="9">
        <f>L28*J28</f>
        <v/>
      </c>
      <c r="O28" t="inlineStr">
        <is>
          <t>https://www.onsemi.com/pdf/datasheet/mjl21193-d.pdf</t>
        </is>
      </c>
    </row>
    <row r="29">
      <c r="A29" t="n">
        <v>2</v>
      </c>
      <c r="B29" t="inlineStr">
        <is>
          <t>MJL21194G</t>
        </is>
      </c>
      <c r="C29" t="inlineStr">
        <is>
          <t>onsemi</t>
        </is>
      </c>
      <c r="D29" s="3" t="inlineStr">
        <is>
          <t>Q9,Q10</t>
        </is>
      </c>
      <c r="E29" s="3" t="inlineStr">
        <is>
          <t>NPN 250V 16A TO-264 (+6V pass)</t>
        </is>
      </c>
      <c r="F29" t="inlineStr">
        <is>
          <t>MJL21194GOS-ND</t>
        </is>
      </c>
      <c r="G29" t="inlineStr">
        <is>
          <t>onsemi</t>
        </is>
      </c>
      <c r="H29" t="n">
        <v>322</v>
      </c>
      <c r="I29" t="inlineStr">
        <is>
          <t>Active</t>
        </is>
      </c>
      <c r="J29" t="n">
        <v>2</v>
      </c>
      <c r="K29" t="n">
        <v>1</v>
      </c>
      <c r="L29" s="9" t="n">
        <v>7.04</v>
      </c>
      <c r="M29" s="9">
        <f>L29*J29</f>
        <v/>
      </c>
      <c r="O29" t="inlineStr">
        <is>
          <t>https://www.onsemi.com/pdf/datasheet/mjl21193-d.pdf</t>
        </is>
      </c>
    </row>
    <row r="30">
      <c r="A30" t="n">
        <v>1</v>
      </c>
      <c r="B30" t="inlineStr">
        <is>
          <t>SL22 10005</t>
        </is>
      </c>
      <c r="C30" t="inlineStr">
        <is>
          <t>Ametherm</t>
        </is>
      </c>
      <c r="D30" s="3" t="inlineStr">
        <is>
          <t>TH1</t>
        </is>
      </c>
      <c r="E30" s="3" t="inlineStr">
        <is>
          <t>inrush NTC 10ohm 5A</t>
        </is>
      </c>
      <c r="F30" t="inlineStr">
        <is>
          <t>570-SL2210005-ND</t>
        </is>
      </c>
      <c r="G30" t="inlineStr">
        <is>
          <t>Vishay Ametherm</t>
        </is>
      </c>
      <c r="H30" t="n">
        <v>1203</v>
      </c>
      <c r="I30" t="inlineStr">
        <is>
          <t>Active</t>
        </is>
      </c>
      <c r="J30" t="n">
        <v>1</v>
      </c>
      <c r="K30" t="n">
        <v>1</v>
      </c>
      <c r="L30" s="9" t="n">
        <v>5.5</v>
      </c>
      <c r="M30" s="9">
        <f>L30*J30</f>
        <v/>
      </c>
      <c r="O30" t="inlineStr">
        <is>
          <t>https://www.ametherm.com/datasheetspdf/SL2210005.pdf</t>
        </is>
      </c>
      <c r="P30" t="inlineStr">
        <is>
          <t>APPROX MATCH -&gt; SL2210005 (verify)</t>
        </is>
      </c>
    </row>
    <row r="31">
      <c r="A31" t="n">
        <v>2</v>
      </c>
      <c r="B31" t="inlineStr">
        <is>
          <t>LM4051AIM3-ADJ/NOPB</t>
        </is>
      </c>
      <c r="C31" t="inlineStr">
        <is>
          <t>Texas Instruments</t>
        </is>
      </c>
      <c r="D31" s="3" t="inlineStr">
        <is>
          <t>U11,U12</t>
        </is>
      </c>
      <c r="E31" s="3" t="inlineStr">
        <is>
          <t>adj shunt ref SOT-23</t>
        </is>
      </c>
      <c r="F31" t="inlineStr">
        <is>
          <t>LM4051AIM3-ADJ/NOPBTR-ND</t>
        </is>
      </c>
      <c r="G31" t="inlineStr">
        <is>
          <t>Texas Instruments</t>
        </is>
      </c>
      <c r="H31" t="n">
        <v>2137</v>
      </c>
      <c r="I31" t="inlineStr">
        <is>
          <t>Active</t>
        </is>
      </c>
      <c r="J31" t="n">
        <v>2</v>
      </c>
      <c r="K31" t="n">
        <v>1</v>
      </c>
      <c r="L31" s="9" t="n">
        <v>3.9</v>
      </c>
      <c r="M31" s="9">
        <f>L31*J31</f>
        <v/>
      </c>
      <c r="O31" t="inlineStr">
        <is>
          <t>https://rocelec.widen.net/view/pdf/laxdfeqisn/lm4051-n.pdf?t.download=true&amp;u=5oefqw</t>
        </is>
      </c>
    </row>
    <row r="32">
      <c r="A32" s="4" t="n">
        <v>1</v>
      </c>
      <c r="B32" s="4" t="inlineStr">
        <is>
          <t>VPT30-1670</t>
        </is>
      </c>
      <c r="C32" s="4" t="inlineStr">
        <is>
          <t>Triad Magnetics</t>
        </is>
      </c>
      <c r="D32" s="5" t="inlineStr">
        <is>
          <t>T1 (incl. mounting kit)</t>
        </is>
      </c>
      <c r="E32" s="5" t="inlineStr">
        <is>
          <t>toroid 50VA 2x15Vac CT (22V rail) - chassis</t>
        </is>
      </c>
      <c r="F32" t="inlineStr">
        <is>
          <t>237-1333-ND</t>
        </is>
      </c>
      <c r="G32" t="inlineStr">
        <is>
          <t>Triad Magnetics</t>
        </is>
      </c>
      <c r="H32" t="n">
        <v>120</v>
      </c>
      <c r="I32" t="inlineStr">
        <is>
          <t>Active</t>
        </is>
      </c>
      <c r="J32" t="n">
        <v>1</v>
      </c>
      <c r="K32" t="n">
        <v>1</v>
      </c>
      <c r="L32" s="9" t="n">
        <v>37.01</v>
      </c>
      <c r="M32" s="9">
        <f>L32*J32</f>
        <v/>
      </c>
      <c r="O32" t="inlineStr">
        <is>
          <t>http://catalog.triadmagnetics.com/Asset/VPT30-1670.pdf</t>
        </is>
      </c>
    </row>
    <row r="33">
      <c r="A33" s="4" t="n">
        <v>1</v>
      </c>
      <c r="B33" s="4" t="inlineStr">
        <is>
          <t>VPT18-8800</t>
        </is>
      </c>
      <c r="C33" s="4" t="inlineStr">
        <is>
          <t>Triad Magnetics</t>
        </is>
      </c>
      <c r="D33" s="5" t="inlineStr">
        <is>
          <t>T2 (incl. mounting kit)</t>
        </is>
      </c>
      <c r="E33" s="5" t="inlineStr">
        <is>
          <t>toroid 160VA 2x9Vac CT (TEC) - chassis [LOW STOCK]</t>
        </is>
      </c>
      <c r="F33" t="inlineStr">
        <is>
          <t>237-1344-ND</t>
        </is>
      </c>
      <c r="G33" t="inlineStr">
        <is>
          <t>Triad Magnetics</t>
        </is>
      </c>
      <c r="H33" t="n">
        <v>2</v>
      </c>
      <c r="I33" t="inlineStr">
        <is>
          <t>Active</t>
        </is>
      </c>
      <c r="J33" t="n">
        <v>1</v>
      </c>
      <c r="K33" t="n">
        <v>1</v>
      </c>
      <c r="L33" s="9" t="n">
        <v>61</v>
      </c>
      <c r="M33" s="9">
        <f>L33*J33</f>
        <v/>
      </c>
      <c r="O33" t="inlineStr">
        <is>
          <t>http://catalog.triadmagnetics.com/Asset/VPT18-8800.pdf</t>
        </is>
      </c>
    </row>
    <row r="34">
      <c r="A34" s="4" t="n">
        <v>4</v>
      </c>
      <c r="B34" s="4" t="inlineStr">
        <is>
          <t>657-10ABPE</t>
        </is>
      </c>
      <c r="C34" s="4" t="inlineStr">
        <is>
          <t>Wakefield Thermal Solutions</t>
        </is>
      </c>
      <c r="D34" s="5" t="inlineStr">
        <is>
          <t>Q7,Q8,Q9,Q10</t>
        </is>
      </c>
      <c r="E34" s="5" t="inlineStr">
        <is>
          <t>Vertical board-mount heat sink TO-247/TO-264, 41.9x25.4mm base, 25.4mm tall, 3.7C/W @200LFM (6.8C/W nat), bolt-on w/ 2 wave-solder pins | 1 per device</t>
        </is>
      </c>
      <c r="F34" t="inlineStr">
        <is>
          <t>657-10ABPE-ND</t>
        </is>
      </c>
      <c r="G34" t="inlineStr">
        <is>
          <t>Wakefield Thermal Solutions</t>
        </is>
      </c>
      <c r="H34" t="n">
        <v>2146</v>
      </c>
      <c r="I34" t="inlineStr">
        <is>
          <t>Active</t>
        </is>
      </c>
      <c r="J34" t="n">
        <v>4</v>
      </c>
      <c r="K34" t="n">
        <v>1</v>
      </c>
      <c r="L34" s="9" t="n">
        <v>2.49</v>
      </c>
      <c r="M34" s="9">
        <f>L34*J34</f>
        <v/>
      </c>
      <c r="O34" t="inlineStr">
        <is>
          <t>https://www.digikey.com/en/products/detail/wakefield-thermal-solutions/657-25ABPE/5068326</t>
        </is>
      </c>
      <c r="P34" t="inlineStr">
        <is>
          <t>Low-profile 25.4mm 657 (was 657-25ABPE/63.5mm) to fit 100x160 Eurocard; sized for fan + &lt;=50% load, fan-fail survivable. Rev 2026-06-24</t>
        </is>
      </c>
    </row>
    <row r="35">
      <c r="A35" s="4" t="n">
        <v>4</v>
      </c>
      <c r="B35" s="4" t="inlineStr">
        <is>
          <t>WTI7R1F0-1.00X0.75</t>
        </is>
      </c>
      <c r="C35" s="4" t="inlineStr">
        <is>
          <t>Same Sky</t>
        </is>
      </c>
      <c r="D35" s="5" t="inlineStr">
        <is>
          <t>Q7,Q8,Q9,Q10</t>
        </is>
      </c>
      <c r="E35" s="5" t="inlineStr">
        <is>
          <t>TO-264 thermal insulator pad</t>
        </is>
      </c>
      <c r="F35" t="inlineStr">
        <is>
          <t>345-WTI7R1F0-1.00X0.75-ND</t>
        </is>
      </c>
      <c r="G35" t="inlineStr">
        <is>
          <t>Wakefield Thermal Solutions</t>
        </is>
      </c>
      <c r="H35" t="n">
        <v>4927</v>
      </c>
      <c r="I35" t="inlineStr">
        <is>
          <t>Active</t>
        </is>
      </c>
      <c r="J35" t="n">
        <v>4</v>
      </c>
      <c r="K35" t="n">
        <v>1</v>
      </c>
      <c r="L35" s="9" t="n">
        <v>0.66</v>
      </c>
      <c r="M35" s="9">
        <f>L35*J35</f>
        <v/>
      </c>
      <c r="O35" t="inlineStr">
        <is>
          <t>//mm.digikey.com/Volume0/opasdata/d220001/medias/docus/7343/Wakefield_Thermal%20Insulators%20Catalog_9-15-2025.pdf</t>
        </is>
      </c>
    </row>
    <row r="36">
      <c r="A36" s="4" t="n">
        <v>1</v>
      </c>
      <c r="B36" s="4" t="inlineStr">
        <is>
          <t>0218002.MXP</t>
        </is>
      </c>
      <c r="C36" s="4" t="inlineStr">
        <is>
          <t>Littelfuse</t>
        </is>
      </c>
      <c r="D36" s="5" t="inlineStr">
        <is>
          <t>F1 (in PEM01)</t>
        </is>
      </c>
      <c r="E36" s="5" t="inlineStr">
        <is>
          <t>2A slow-blow 5x20 cartridge (mains fuse)</t>
        </is>
      </c>
      <c r="F36" t="inlineStr">
        <is>
          <t>F1746-ND</t>
        </is>
      </c>
      <c r="G36" t="inlineStr">
        <is>
          <t>Littelfuse Inc.</t>
        </is>
      </c>
      <c r="H36" t="n">
        <v>6182</v>
      </c>
      <c r="I36" t="inlineStr">
        <is>
          <t>Active</t>
        </is>
      </c>
      <c r="J36" t="n">
        <v>1</v>
      </c>
      <c r="K36" t="n">
        <v>1</v>
      </c>
      <c r="L36" s="9" t="n">
        <v>1.56</v>
      </c>
      <c r="M36" s="9">
        <f>L36*J36</f>
        <v/>
      </c>
      <c r="O36" t="inlineStr">
        <is>
          <t>https://www.littelfuse.com/assetdocs/littelfuse_fuse_218_datasheet.pdf?assetguid=a96d72b7-5296-4815-88b4-98b2f6738874</t>
        </is>
      </c>
    </row>
    <row r="37">
      <c r="A37" s="4" t="n">
        <v>1</v>
      </c>
      <c r="B37" s="4" t="inlineStr">
        <is>
          <t>294711-E</t>
        </is>
      </c>
      <c r="C37" s="4" t="inlineStr">
        <is>
          <t>TE/ERNI</t>
        </is>
      </c>
      <c r="D37" s="5" t="inlineStr">
        <is>
          <t>J6 mate</t>
        </is>
      </c>
      <c r="E37" s="5" t="inlineStr">
        <is>
          <t>DIN41612 type M vert female (backplane)</t>
        </is>
      </c>
      <c r="F37" t="inlineStr">
        <is>
          <t>2684-294711-E-ND</t>
        </is>
      </c>
      <c r="G37" t="inlineStr">
        <is>
          <t>TE Connectivity Erni</t>
        </is>
      </c>
      <c r="H37" t="n">
        <v>57</v>
      </c>
      <c r="I37" t="inlineStr">
        <is>
          <t>Active</t>
        </is>
      </c>
      <c r="J37" t="n">
        <v>1</v>
      </c>
      <c r="K37" t="n">
        <v>1</v>
      </c>
      <c r="L37" s="9" t="n">
        <v>6.38</v>
      </c>
      <c r="M37" s="9">
        <f>L37*J37</f>
        <v/>
      </c>
      <c r="O37" t="inlineStr">
        <is>
          <t>https://www.erni.com/fileadmin/import/products/assets/DC0002359.PDF</t>
        </is>
      </c>
    </row>
    <row r="38">
      <c r="A38" s="6" t="n">
        <v>5</v>
      </c>
      <c r="B38" s="6" t="inlineStr">
        <is>
          <t>1757022</t>
        </is>
      </c>
      <c r="C38" s="6" t="inlineStr">
        <is>
          <t>Phoenix Contact</t>
        </is>
      </c>
      <c r="D38" s="7" t="inlineStr">
        <is>
          <t>J1-J5 mate</t>
        </is>
      </c>
      <c r="E38" s="7" t="inlineStr">
        <is>
          <t>term block plug 3pos 5.08 screw (wiring side)</t>
        </is>
      </c>
      <c r="F38" t="inlineStr">
        <is>
          <t>277-1012-ND</t>
        </is>
      </c>
      <c r="G38" t="inlineStr">
        <is>
          <t>Phoenix Contact</t>
        </is>
      </c>
      <c r="H38" t="n">
        <v>15948</v>
      </c>
      <c r="I38" t="inlineStr">
        <is>
          <t>Active</t>
        </is>
      </c>
      <c r="J38" t="n">
        <v>5</v>
      </c>
      <c r="K38" t="n">
        <v>1</v>
      </c>
      <c r="L38" s="9" t="n">
        <v>2.71</v>
      </c>
      <c r="M38" s="9">
        <f>L38*J38</f>
        <v/>
      </c>
      <c r="O38" t="inlineStr">
        <is>
          <t>https://www.phoenixcontact.com/us/products/1757022/pdf</t>
        </is>
      </c>
    </row>
    <row r="39">
      <c r="A39" s="6" t="n">
        <v>1</v>
      </c>
      <c r="B39" s="6" t="inlineStr">
        <is>
          <t>7-6609940-4</t>
        </is>
      </c>
      <c r="C39" s="6" t="inlineStr">
        <is>
          <t>TE Connectivity</t>
        </is>
      </c>
      <c r="D39" s="7" t="inlineStr">
        <is>
          <t>PEM01</t>
        </is>
      </c>
      <c r="E39" s="7" t="inlineStr">
        <is>
          <t>power entry module IEC C14, fused + EMI filtered (panel)</t>
        </is>
      </c>
      <c r="F39" t="inlineStr">
        <is>
          <t>7-6609940-4-ND</t>
        </is>
      </c>
      <c r="G39" t="inlineStr">
        <is>
          <t>TE Connectivity Corcom Filters</t>
        </is>
      </c>
      <c r="H39" t="n">
        <v>60</v>
      </c>
      <c r="I39" t="inlineStr">
        <is>
          <t>Active</t>
        </is>
      </c>
      <c r="J39" t="n">
        <v>1</v>
      </c>
      <c r="K39" t="n">
        <v>1</v>
      </c>
      <c r="L39" s="9" t="n">
        <v>39.18</v>
      </c>
      <c r="M39" s="9">
        <f>L39*J39</f>
        <v/>
      </c>
      <c r="O39" t="inlineStr">
        <is>
          <t>https://www.te.com/usa-en/product-7-6609940-4.datasheet.pdf</t>
        </is>
      </c>
    </row>
    <row r="40">
      <c r="A40" t="n">
        <v>4</v>
      </c>
      <c r="B40" t="inlineStr">
        <is>
          <t>RC0805FR-0710RL</t>
        </is>
      </c>
      <c r="C40" t="inlineStr">
        <is>
          <t>YAGEO</t>
        </is>
      </c>
      <c r="D40" t="inlineStr">
        <is>
          <t>R40, R41, R42, R43</t>
        </is>
      </c>
      <c r="E40" t="inlineStr">
        <is>
          <t>10 ohm 1% 0805 | base-stopper (anti-parasitic), 1 per MJL pass transistor</t>
        </is>
      </c>
      <c r="F40" t="inlineStr">
        <is>
          <t>311-10.0CRTR-ND</t>
        </is>
      </c>
      <c r="G40" t="inlineStr">
        <is>
          <t>YAGEO</t>
        </is>
      </c>
      <c r="H40" t="n">
        <v>121382</v>
      </c>
      <c r="I40" t="inlineStr">
        <is>
          <t>Active</t>
        </is>
      </c>
      <c r="J40" t="n">
        <v>4</v>
      </c>
      <c r="K40" t="n">
        <v>1</v>
      </c>
      <c r="L40" s="9" t="n">
        <v>0.11</v>
      </c>
      <c r="M40" s="9">
        <f>L40*J40</f>
        <v/>
      </c>
      <c r="O40" t="inlineStr">
        <is>
          <t>https://www.yageo.com/upload/media/product/productsearch/datasheet/rchip/PYu-RC_Group_51_RoHS_L_12.pdf</t>
        </is>
      </c>
      <c r="P40" t="inlineStr">
        <is>
          <t>Added per F2 fix 2026-06-24: base stoppers for paralleled MJL pass devices (R32/R33 removed)</t>
        </is>
      </c>
    </row>
    <row r="41">
      <c r="L41" s="10" t="inlineStr">
        <is>
          <t>TOTAL</t>
        </is>
      </c>
      <c r="M41" s="10">
        <f>SUM(M2:M40)</f>
        <v/>
      </c>
    </row>
    <row r="42">
      <c r="F42" s="11" t="inlineStr">
        <is>
          <t>Prices pulled 2026-06-22 16:05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2026-06-22T18:49:35Z</dcterms:created>
  <dcterms:modified xmlns:dcterms="http://purl.org/dc/terms/" xmlns:xsi="http://www.w3.org/2001/XMLSchema-instance" xsi:type="dcterms:W3CDTF">2026-06-25T00:51:28Z</dcterms:modified>
</cp:coreProperties>
</file>